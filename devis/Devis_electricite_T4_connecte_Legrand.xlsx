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s" sheetId="1" state="visible" r:id="rId3"/>
    <sheet name="Références fournisseur" sheetId="2" state="visible" r:id="rId4"/>
    <sheet name="Tableau électrique" sheetId="3" state="visible" r:id="rId5"/>
    <sheet name="Points à vérifier" sheetId="4" state="visible" r:id="rId6"/>
  </sheets>
  <definedNames>
    <definedName function="false" hidden="false" localSheetId="0" name="_xlnm.Print_Titles" vbProcedure="false">Devis!$9:$9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7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56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58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59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60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61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66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67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69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74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75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76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98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105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107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109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113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115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 + pose 35 €</t>
        </r>
      </text>
    </comment>
    <comment ref="E136" authorId="0">
      <text>
        <r>
          <rPr>
            <sz val="10"/>
            <rFont val="Arial"/>
            <family val="2"/>
          </rPr>
          <t xml:space="preserve">Fourniture : prix d'achat × coefficient de marge (onglet Références fournisseur)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Marge demandée : achat 100 € → vente 140 €. Modifier ici pour tout recalculer.</t>
        </r>
      </text>
    </comment>
  </commentList>
</comments>
</file>

<file path=xl/sharedStrings.xml><?xml version="1.0" encoding="utf-8"?>
<sst xmlns="http://schemas.openxmlformats.org/spreadsheetml/2006/main" count="620" uniqueCount="395">
  <si>
    <t xml:space="preserve">MAUREL'EC</t>
  </si>
  <si>
    <t xml:space="preserve">DEVIS N°</t>
  </si>
  <si>
    <t xml:space="preserve">[à compléter]</t>
  </si>
  <si>
    <t xml:space="preserve">Électricité générale – Domotique</t>
  </si>
  <si>
    <t xml:space="preserve">Date</t>
  </si>
  <si>
    <t xml:space="preserve">15/10/2026</t>
  </si>
  <si>
    <t xml:space="preserve">[Adresse] – [Téléphone] – maurelec.btp@gmail.com</t>
  </si>
  <si>
    <t xml:space="preserve">Validité</t>
  </si>
  <si>
    <t xml:space="preserve">3 mois</t>
  </si>
  <si>
    <t xml:space="preserve">Entrepreneur individuel (micro-entreprise) – SIRET : [à compléter] – Assurance décennale : [à compléter]</t>
  </si>
  <si>
    <t xml:space="preserve">CLIENTE :</t>
  </si>
  <si>
    <t xml:space="preserve">Mme [Nom] – [Adresse du chantier]</t>
  </si>
  <si>
    <t xml:space="preserve">OBJET :</t>
  </si>
  <si>
    <t xml:space="preserve">Rénovation électrique complète d'un appartement T4 (97,57 m² + 2 balcons) – installation 100 % connectée Legrand Céliane with Netatmo, pilotable sur smartphone, conforme NF C 15-100. Premier chiffrage établi sur plan, sans visite.</t>
  </si>
  <si>
    <t xml:space="preserve">N°</t>
  </si>
  <si>
    <t xml:space="preserve">Désignation (fourniture et pose)</t>
  </si>
  <si>
    <t xml:space="preserve">Unité</t>
  </si>
  <si>
    <t xml:space="preserve">Qté</t>
  </si>
  <si>
    <t xml:space="preserve">PU</t>
  </si>
  <si>
    <t xml:space="preserve">Total</t>
  </si>
  <si>
    <t xml:space="preserve">1</t>
  </si>
  <si>
    <t xml:space="preserve">INSTALLATION DE CHANTIER ET DÉCHETS</t>
  </si>
  <si>
    <t xml:space="preserve">1.1</t>
  </si>
  <si>
    <t xml:space="preserve">Approvisionnement du chantier : livraison du matériel, protections sols/menuiseries, mise en sécurité de l'installation existante</t>
  </si>
  <si>
    <t xml:space="preserve">Forfait</t>
  </si>
  <si>
    <t xml:space="preserve">1.2</t>
  </si>
  <si>
    <t xml:space="preserve">Débarrassage, tri, évacuation et mise en déchetterie des déchets (gravats de saignées, câbles, emballages), frais de déchetterie inclus</t>
  </si>
  <si>
    <t xml:space="preserve">Sous-total lot 1</t>
  </si>
  <si>
    <t xml:space="preserve">2</t>
  </si>
  <si>
    <t xml:space="preserve">SAIGNÉES ET ENCASTREMENT EN MURS DURS ET SOLS</t>
  </si>
  <si>
    <t xml:space="preserve">2.1</t>
  </si>
  <si>
    <t xml:space="preserve">Saignées en murs durs (béton / maçonnerie pleine) à la rainureuse avec aspiration</t>
  </si>
  <si>
    <t xml:space="preserve">ml</t>
  </si>
  <si>
    <t xml:space="preserve">2.2</t>
  </si>
  <si>
    <t xml:space="preserve">Saignées au sol (dalle / chape) pour passage des gaines ICTA</t>
  </si>
  <si>
    <t xml:space="preserve">2.3</t>
  </si>
  <si>
    <t xml:space="preserve">Carottage et scellement des boîtes d'encastrement Ø67 dans le béton</t>
  </si>
  <si>
    <t xml:space="preserve">U</t>
  </si>
  <si>
    <t xml:space="preserve">2.4</t>
  </si>
  <si>
    <t xml:space="preserve">Carottages de traversée de murs porteurs / cloisons béton</t>
  </si>
  <si>
    <t xml:space="preserve">2.5</t>
  </si>
  <si>
    <t xml:space="preserve">Rebouchage des saignées au mortier / enduit (prêt à peindre, hors peinture)</t>
  </si>
  <si>
    <t xml:space="preserve">Sous-total lot 2</t>
  </si>
  <si>
    <t xml:space="preserve">3</t>
  </si>
  <si>
    <t xml:space="preserve">TABLEAU ÉLECTRIQUE ET GTL (situés dans le hall d'entrée)</t>
  </si>
  <si>
    <t xml:space="preserve">3.1</t>
  </si>
  <si>
    <t xml:space="preserve">GTL Legrand 13 modules (hauteur 2,60 m) avec couvercles</t>
  </si>
  <si>
    <t xml:space="preserve">3.2</t>
  </si>
  <si>
    <t xml:space="preserve">Coffret Legrand Drivia 18 modules 4 rangées avec porte (≈ 20 % de réserve)</t>
  </si>
  <si>
    <t xml:space="preserve">3.3</t>
  </si>
  <si>
    <t xml:space="preserve">Interrupteur différentiel Legrand 40 A 30 mA type A (circuits éclairage, prises, équipements)</t>
  </si>
  <si>
    <t xml:space="preserve">3.4</t>
  </si>
  <si>
    <t xml:space="preserve">Interrupteur différentiel Legrand 40 A 30 mA type F (cuisson, lave-linge, climatisations)</t>
  </si>
  <si>
    <t xml:space="preserve">3.5</t>
  </si>
  <si>
    <t xml:space="preserve">Interrupteur différentiel Legrand 63 A 30 mA type A (circuits plancher chauffant)</t>
  </si>
  <si>
    <t xml:space="preserve">3.6</t>
  </si>
  <si>
    <t xml:space="preserve">Disjoncteur Legrand DX3 Ph+N 2 A (filtre à air / ventilation)</t>
  </si>
  <si>
    <t xml:space="preserve">3.7</t>
  </si>
  <si>
    <t xml:space="preserve">Disjoncteur Legrand DX3 Ph+N 10 A (circuits éclairage)</t>
  </si>
  <si>
    <t xml:space="preserve">3.8</t>
  </si>
  <si>
    <t xml:space="preserve">Disjoncteur Legrand DX3 Ph+N 16 A (prises, volets, stores, porte WC, filtre à eau, balcons, alarme/caméras, coffret com., hotte)</t>
  </si>
  <si>
    <t xml:space="preserve">3.9</t>
  </si>
  <si>
    <t xml:space="preserve">Disjoncteur Legrand DX3 Ph+N 16 A (circuits plancher chauffant, 1 par zone)</t>
  </si>
  <si>
    <t xml:space="preserve">3.10</t>
  </si>
  <si>
    <t xml:space="preserve">Disjoncteur Legrand DX3 Ph+N 20 A (prises séjour/cuisine, four, lave-vaisselle, lave-linge, sèche-linge, congélateur, chauffe-eau, 4 climatisations)</t>
  </si>
  <si>
    <t xml:space="preserve">3.11</t>
  </si>
  <si>
    <t xml:space="preserve">Disjoncteur Legrand DX3 Ph+N 32 A (plaque de cuisson)</t>
  </si>
  <si>
    <t xml:space="preserve">3.12</t>
  </si>
  <si>
    <t xml:space="preserve">Contacteur jour/nuit Legrand 20 A (chauffe-eau, heures creuses)</t>
  </si>
  <si>
    <t xml:space="preserve">3.13</t>
  </si>
  <si>
    <t xml:space="preserve">Parafoudre Legrand type 2 Ph+N avec disjoncteur de déconnexion associé</t>
  </si>
  <si>
    <t xml:space="preserve">3.14</t>
  </si>
  <si>
    <t xml:space="preserve">Drivia with Netatmo : pack module Control + contacteur connecté (412191B) + module de mesure (412015)</t>
  </si>
  <si>
    <t xml:space="preserve">3.15</t>
  </si>
  <si>
    <t xml:space="preserve">Peignes, borniers, repérage des circuits, câblage et mise en ordre du tableau</t>
  </si>
  <si>
    <t xml:space="preserve">3.16</t>
  </si>
  <si>
    <t xml:space="preserve">Tableau de communication Legrand Drivia grade 3TV (DTI, répartiteur RJ45, prise de courant intégrée)</t>
  </si>
  <si>
    <t xml:space="preserve">3.17</t>
  </si>
  <si>
    <t xml:space="preserve">Mise à la terre : barrette de coupure, conducteur principal, liaisons équipotentielles</t>
  </si>
  <si>
    <t xml:space="preserve">Sous-total lot 3</t>
  </si>
  <si>
    <t xml:space="preserve">4</t>
  </si>
  <si>
    <t xml:space="preserve">CRÉATION DES CIRCUITS DEPUIS LE TABLEAU (câble + gaine ICTA du tableau jusqu'au 1er point, raccordement au tableau)</t>
  </si>
  <si>
    <t xml:space="preserve">4.1</t>
  </si>
  <si>
    <t xml:space="preserve">Circuits éclairage : zone jour, zone nuit, pièces d'eau/WC/buanderie, balcons</t>
  </si>
  <si>
    <t xml:space="preserve">Circuit</t>
  </si>
  <si>
    <t xml:space="preserve">4.2</t>
  </si>
  <si>
    <t xml:space="preserve">Circuits prises : séjour, chambres 1-2, chambre 3/hall/dégagement, salles de bain, cuisine, balcons (+ brumisateurs/ventilateurs)</t>
  </si>
  <si>
    <t xml:space="preserve">4.3</t>
  </si>
  <si>
    <t xml:space="preserve">Circuits volets roulants et stores</t>
  </si>
  <si>
    <t xml:space="preserve">4.4</t>
  </si>
  <si>
    <t xml:space="preserve">Circuits spécialisés : plaque, four, lave-vaisselle, hotte, lave-linge, sèche-linge, congélateur, chauffe-eau, filtre à eau, filtre à air, porte WC</t>
  </si>
  <si>
    <t xml:space="preserve">4.5</t>
  </si>
  <si>
    <t xml:space="preserve">Circuits alarme/caméras et coffret de communication</t>
  </si>
  <si>
    <t xml:space="preserve">4.6</t>
  </si>
  <si>
    <t xml:space="preserve">Circuits climatisations réversibles (jusqu'aux unités extérieures)</t>
  </si>
  <si>
    <t xml:space="preserve">4.7</t>
  </si>
  <si>
    <t xml:space="preserve">Circuits plancher chauffant (1 par zone)</t>
  </si>
  <si>
    <t xml:space="preserve">Sous-total lot 4</t>
  </si>
  <si>
    <t xml:space="preserve">5</t>
  </si>
  <si>
    <t xml:space="preserve">ÉCLAIRAGE CONNECTÉ – LEGRAND CÉLIANE WITH NETATMO</t>
  </si>
  <si>
    <t xml:space="preserve">5.1</t>
  </si>
  <si>
    <t xml:space="preserve">Point lumineux plafond DCL (boîte DCL + douille + fiche), dérivation 1,5 mm² sous ICTA sur le circuit éclairage – séjour 3, cuisine 2, chambres 3, SDB 4, WC 1, hall 1, dégagement 2, buanderie 1, dressing 1</t>
  </si>
  <si>
    <t xml:space="preserve">5.2</t>
  </si>
  <si>
    <t xml:space="preserve">Création des liaisons de commande (câble 1,5 mm² sous ICTA, boîte d'encastrement) – interrupteurs des pièces 14 + bibliothèque 1</t>
  </si>
  <si>
    <t xml:space="preserve">5.3</t>
  </si>
  <si>
    <t xml:space="preserve">Interrupteur connecté Céliane with Netatmo avec neutre CB0409 + plaque – fourniture et pose – séjour 2, cuisine 2, chambres 3, SDB 2, WC 1, hall 1, dégagement 1, buanderie 1, dressing 1</t>
  </si>
  <si>
    <t xml:space="preserve">5.4</t>
  </si>
  <si>
    <t xml:space="preserve">Bibliothèque du séjour : alimentation éclairage en attente (dérivation, boîte de raccordement, emplacement à définir)</t>
  </si>
  <si>
    <t xml:space="preserve">5.5</t>
  </si>
  <si>
    <t xml:space="preserve">Bibliothèque du séjour : variateur connecté Céliane with Netatmo CB0409 + plaque – fourniture et pose</t>
  </si>
  <si>
    <t xml:space="preserve">5.6</t>
  </si>
  <si>
    <t xml:space="preserve">Commande sans fil Self-e Céliane with Netatmo CB0420 + plaque (têtes de lit 3, séjour 1, dégagement 1) – fourniture et pose</t>
  </si>
  <si>
    <t xml:space="preserve">5.7</t>
  </si>
  <si>
    <t xml:space="preserve">Commande générale sans fil « Départ / Arrivée » CB0400 + plaque (entrée) – fourniture et pose</t>
  </si>
  <si>
    <t xml:space="preserve">5.8</t>
  </si>
  <si>
    <t xml:space="preserve">Commande sans fil « Lever / Coucher » CB0423 + plaque (chambre parentale) – fourniture et pose</t>
  </si>
  <si>
    <t xml:space="preserve">Sous-total lot 5</t>
  </si>
  <si>
    <t xml:space="preserve">6</t>
  </si>
  <si>
    <t xml:space="preserve">PRISES DE COURANT ET COMMUNICATION (NF C 15-100)</t>
  </si>
  <si>
    <t xml:space="preserve">6.1</t>
  </si>
  <si>
    <t xml:space="preserve">Dérivation des points prises 16 A sur leur circuit (câble 2,5 mm², gaine ICTA, boîte d'encastrement) – 21 standard + 5 connectées</t>
  </si>
  <si>
    <t xml:space="preserve">6.2</t>
  </si>
  <si>
    <t xml:space="preserve">Prise de courant 16 A 2P+T Céliane (CM0111 + CB0111 + support + plaque) – fourniture et pose – minimum NF C 15-100 : séjour 5, chambres 2 x3, cuisine 6 (dont 4 plan de travail, frigo), SDB 1 x2, hall 1, dégagement 1</t>
  </si>
  <si>
    <t xml:space="preserve">6.3</t>
  </si>
  <si>
    <t xml:space="preserve">Prise de courant connectée Céliane with Netatmo CB0460 + plaque (pilotage + mesure) – séjour 2, chambres 3 – fourniture et pose</t>
  </si>
  <si>
    <t xml:space="preserve">6.4</t>
  </si>
  <si>
    <t xml:space="preserve">Création des lignes RJ45 cat. 6A depuis le tableau de communication (câble, gaine, boîte)</t>
  </si>
  <si>
    <t xml:space="preserve">6.5</t>
  </si>
  <si>
    <t xml:space="preserve">Prise RJ45 grade 3TV Céliane (CM0346 + CB0346 + support + plaque) – séjour 2, chambres 3 – fourniture et pose</t>
  </si>
  <si>
    <t xml:space="preserve">Sous-total lot 6</t>
  </si>
  <si>
    <t xml:space="preserve">7</t>
  </si>
  <si>
    <t xml:space="preserve">VOLETS ROULANTS ET STORES CONNECTÉS</t>
  </si>
  <si>
    <t xml:space="preserve">7.1</t>
  </si>
  <si>
    <t xml:space="preserve">Dérivation des alimentations moteurs sur le circuit volets/stores (câble, boîte de raccordement) – 6 volets + 2 stores</t>
  </si>
  <si>
    <t xml:space="preserve">7.2</t>
  </si>
  <si>
    <t xml:space="preserve">Interrupteur de volet roulant connecté Céliane with Netatmo CB0431 + plaque – chambres 3, séjour 2, cuisine 1 – fourniture et pose</t>
  </si>
  <si>
    <t xml:space="preserve">7.3</t>
  </si>
  <si>
    <t xml:space="preserve">Interrupteur de store connecté Céliane with Netatmo CB0431 + plaque (stores des balcons) – fourniture et pose</t>
  </si>
  <si>
    <t xml:space="preserve">7.4</t>
  </si>
  <si>
    <t xml:space="preserve">Commande générale volets roulants sans fil Céliane with Netatmo CB0432 + plaque – fourniture et pose</t>
  </si>
  <si>
    <t xml:space="preserve">Sous-total lot 7</t>
  </si>
  <si>
    <t xml:space="preserve">8</t>
  </si>
  <si>
    <t xml:space="preserve">CHAUFFAGE AU SOL – ALIMENTATIONS EN ATTENTE</t>
  </si>
  <si>
    <t xml:space="preserve">8.1</t>
  </si>
  <si>
    <t xml:space="preserve">Attente par zone de plancher chauffant : boîte de raccordement en fin de circuit – séjour, 3 chambres, cuisine, 2 SDB, hall/dégagement, buanderie/dressing (trame et thermostat non fournis)</t>
  </si>
  <si>
    <t xml:space="preserve">Sous-total lot 8</t>
  </si>
  <si>
    <t xml:space="preserve">9</t>
  </si>
  <si>
    <t xml:space="preserve">CLIMATISATIONS RÉVERSIBLES (alimentations)</t>
  </si>
  <si>
    <t xml:space="preserve">9.1</t>
  </si>
  <si>
    <t xml:space="preserve">Attente climatisation à côté de l'unité extérieure, en fin de circuit 20 A (raccordement direct sur le groupe par le climaticien)</t>
  </si>
  <si>
    <t xml:space="preserve">Sous-total lot 9</t>
  </si>
  <si>
    <t xml:space="preserve">10</t>
  </si>
  <si>
    <t xml:space="preserve">CUISINE, ÉLECTROMÉNAGER ET ÉQUIPEMENTS (alimentations)</t>
  </si>
  <si>
    <t xml:space="preserve">10.1</t>
  </si>
  <si>
    <t xml:space="preserve">Sortie de câble 32 A plaque de cuisson – fourniture et pose</t>
  </si>
  <si>
    <t xml:space="preserve">10.2</t>
  </si>
  <si>
    <t xml:space="preserve">Prise spécialisée 20 A four – fourniture et pose</t>
  </si>
  <si>
    <t xml:space="preserve">10.3</t>
  </si>
  <si>
    <t xml:space="preserve">Prise spécialisée 20 A lave-vaisselle – fourniture et pose</t>
  </si>
  <si>
    <t xml:space="preserve">10.4</t>
  </si>
  <si>
    <t xml:space="preserve">Sortie de câble hotte – fourniture et pose</t>
  </si>
  <si>
    <t xml:space="preserve">10.5</t>
  </si>
  <si>
    <t xml:space="preserve">Buanderie – prise spécialisée 20 A lave-linge – fourniture et pose</t>
  </si>
  <si>
    <t xml:space="preserve">10.6</t>
  </si>
  <si>
    <t xml:space="preserve">Buanderie – prise spécialisée 20 A sèche-linge – fourniture et pose</t>
  </si>
  <si>
    <t xml:space="preserve">10.7</t>
  </si>
  <si>
    <t xml:space="preserve">Buanderie – prise spécialisée 20 A congélateur – fourniture et pose</t>
  </si>
  <si>
    <t xml:space="preserve">10.8</t>
  </si>
  <si>
    <t xml:space="preserve">Buanderie – sortie de câble chauffe-eau (circuit via contacteur jour/nuit) – fourniture et pose</t>
  </si>
  <si>
    <t xml:space="preserve">10.9</t>
  </si>
  <si>
    <t xml:space="preserve">Prise dédiée filtre à eau sous évier – fourniture et pose</t>
  </si>
  <si>
    <t xml:space="preserve">10.10</t>
  </si>
  <si>
    <t xml:space="preserve">Sortie de câble filtre à air – fourniture et pose</t>
  </si>
  <si>
    <t xml:space="preserve">10.11</t>
  </si>
  <si>
    <t xml:space="preserve">Commande connectée filtre à air Céliane with Netatmo CB0409 + plaque – fourniture et pose</t>
  </si>
  <si>
    <t xml:space="preserve">10.12</t>
  </si>
  <si>
    <t xml:space="preserve">Sortie de câble porte électrique WC – fourniture et pose (porte non fournie)</t>
  </si>
  <si>
    <t xml:space="preserve">Sous-total lot 10</t>
  </si>
  <si>
    <t xml:space="preserve">11</t>
  </si>
  <si>
    <t xml:space="preserve">BALCONS (2)</t>
  </si>
  <si>
    <t xml:space="preserve">11.1</t>
  </si>
  <si>
    <t xml:space="preserve">Attente éclairage extérieur (dérivation, boîte étanche) – balcon séjour 2, balcon chambre/cuisine 1 – appliques non fournies</t>
  </si>
  <si>
    <t xml:space="preserve">11.2</t>
  </si>
  <si>
    <t xml:space="preserve">Création des liaisons de commande éclairage balcons (câble, gaine, boîte)</t>
  </si>
  <si>
    <t xml:space="preserve">11.3</t>
  </si>
  <si>
    <t xml:space="preserve">Interrupteur connecté Céliane with Netatmo CB0409 + plaque pour éclairage balcon – fourniture et pose</t>
  </si>
  <si>
    <t xml:space="preserve">11.4</t>
  </si>
  <si>
    <t xml:space="preserve">Attente brumisateurs et ventilateurs (dérivation, boîte étanche, liaison de commande) – 1 brumisateur + 1 ventilateur par balcon</t>
  </si>
  <si>
    <t xml:space="preserve">11.5</t>
  </si>
  <si>
    <t xml:space="preserve">Commande connectée brumisateur / ventilateur Céliane with Netatmo CB0409 + plaque – fourniture et pose</t>
  </si>
  <si>
    <t xml:space="preserve">11.6</t>
  </si>
  <si>
    <t xml:space="preserve">Dérivation des points prises extérieures (câble 2,5 mm², gaine, boîte étanche)</t>
  </si>
  <si>
    <t xml:space="preserve">11.7</t>
  </si>
  <si>
    <t xml:space="preserve">Prise de courant étanche Legrand Plexo IP55 (069551L + 069651L) – 1 par balcon – fourniture et pose</t>
  </si>
  <si>
    <t xml:space="preserve">Sous-total lot 11</t>
  </si>
  <si>
    <t xml:space="preserve">12</t>
  </si>
  <si>
    <t xml:space="preserve">SÉCURITÉ : DÉTECTION, ALARME, CAMÉRAS</t>
  </si>
  <si>
    <t xml:space="preserve">12.1</t>
  </si>
  <si>
    <t xml:space="preserve">Détecteur de fumée connecté Netatmo NSA-PRO-FR NF EN 14604 – hall, dégagement nuit, séjour – fourniture et pose</t>
  </si>
  <si>
    <t xml:space="preserve">12.2</t>
  </si>
  <si>
    <t xml:space="preserve">Caméra intérieure Netatmo NSC-PRO (centrale de l'alarme), entrée – fourniture et pose</t>
  </si>
  <si>
    <t xml:space="preserve">12.3</t>
  </si>
  <si>
    <t xml:space="preserve">Sirène intérieure connectée Netatmo NIS01-PRO – fourniture et pose</t>
  </si>
  <si>
    <t xml:space="preserve">12.4</t>
  </si>
  <si>
    <t xml:space="preserve">Point d'alimentation caméra sur le circuit alarme/caméras (dérivation + boîte)</t>
  </si>
  <si>
    <t xml:space="preserve">12.5</t>
  </si>
  <si>
    <t xml:space="preserve">Caméra extérieure Netatmo NOC-PRO (balcons) – fourniture et pose</t>
  </si>
  <si>
    <t xml:space="preserve">Sous-total lot 12</t>
  </si>
  <si>
    <t xml:space="preserve">13</t>
  </si>
  <si>
    <t xml:space="preserve">MISE EN SERVICE, DOMOTIQUE ET CONFORMITÉ</t>
  </si>
  <si>
    <t xml:space="preserve">13.1</t>
  </si>
  <si>
    <t xml:space="preserve">Paramétrage application Legrand Home + Control / Netatmo : pièces, scénarios, volets, stores, alarme, assistants vocaux, formation de la cliente</t>
  </si>
  <si>
    <t xml:space="preserve">13.2</t>
  </si>
  <si>
    <t xml:space="preserve">Essais, autocontrôle, mesures (isolement, terre, différentiels) et mise en service</t>
  </si>
  <si>
    <t xml:space="preserve">13.3</t>
  </si>
  <si>
    <t xml:space="preserve">Attestation de conformité Consuel (rénovation totale) + dossier : schémas, plan d'implantation, DOE</t>
  </si>
  <si>
    <t xml:space="preserve">Sous-total lot 13</t>
  </si>
  <si>
    <t xml:space="preserve">TOTAL NET À PAYER</t>
  </si>
  <si>
    <t xml:space="preserve">TVA non applicable, article 293 B du CGI</t>
  </si>
  <si>
    <t xml:space="preserve">Acompte 30 % à la commande</t>
  </si>
  <si>
    <t xml:space="preserve">OPTIONS (non comprises dans le total ci-dessus)</t>
  </si>
  <si>
    <t xml:space="preserve">OPT.1</t>
  </si>
  <si>
    <t xml:space="preserve">Spots LED encastrés étanches (séjour, cuisine, salles de bain), fourniture et pose</t>
  </si>
  <si>
    <t xml:space="preserve">OPT.2</t>
  </si>
  <si>
    <t xml:space="preserve">Bibliothèque – VARIANTE A : spots LED encastrés basse tension + alimentation variable</t>
  </si>
  <si>
    <t xml:space="preserve">OPT.3</t>
  </si>
  <si>
    <t xml:space="preserve">Bibliothèque – VARIANTE B : ruban LED en profilé aluminium avec diffuseur (≈ 6 ml)</t>
  </si>
  <si>
    <t xml:space="preserve">OPT.4</t>
  </si>
  <si>
    <t xml:space="preserve">Bibliothèque – VARIANTE B : alimentation 24 V variable pour ruban LED</t>
  </si>
  <si>
    <t xml:space="preserve">OPT.5</t>
  </si>
  <si>
    <t xml:space="preserve">Plus-value : remplacement des 21 prises standard par des prises connectées Céliane with Netatmo CB0460 (différence de fourniture)</t>
  </si>
  <si>
    <t xml:space="preserve">OPT.6</t>
  </si>
  <si>
    <t xml:space="preserve">Délesteur / gestionnaire d'énergie (chauffage + climatisations)</t>
  </si>
  <si>
    <t xml:space="preserve">Total options</t>
  </si>
  <si>
    <t xml:space="preserve">CONDITIONS ET RÉSERVES</t>
  </si>
  <si>
    <t xml:space="preserve">• Bibliothèque : choisir la variante A (spots) OU B (ruban LED) – ne pas additionner les deux. NON COMPRIS : dépose de l'installation existante ; trames chauffantes et thermostats du plancher chauffant ; appliques extérieures des balcons ; fourniture des volets roulants, stores, moteurs, climatisations, électroménager, chauffe-eau, hotte, filtres à eau/air, brumisateurs, ventilateurs et porte électrique WC (alimentation et commande uniquement) ; luminaires intérieurs (hors DCL) ; peinture après rebouchage ; demande de raccordement / modification d'abonnement Enedis.</t>
  </si>
  <si>
    <t xml:space="preserve">• Moteurs de volets et de stores : filaires standard (montée/descente) pour être commandés par les interrupteurs Céliane with Netatmo.</t>
  </si>
  <si>
    <t xml:space="preserve">• Pilotage : l'ensemble est piloté via l'application Legrand Home + Control (et Netatmo Security pour l'alarme/caméras), compatible Apple Home, Google et Alexa. Climatisations : pilotage via le module Wi-Fi du fabricant.</t>
  </si>
  <si>
    <t xml:space="preserve">• Chiffrage établi sur plan, sans visite technique : quantités et métrés à confirmer lors de la visite. Le devis définitif pourra être ajusté.</t>
  </si>
  <si>
    <t xml:space="preserve">• Conditions de paiement : 30 % à la commande, solde à la réception des travaux.</t>
  </si>
  <si>
    <t xml:space="preserve">Bon pour accord – Date et signature de la cliente :</t>
  </si>
  <si>
    <t xml:space="preserve">Références Legrand / Netatmo à chiffrer chez le fournisseur</t>
  </si>
  <si>
    <t xml:space="preserve">Prix d'achat HT Rexel en colonne F (cellules jaunes) – les prix de vente du devis en découlent (× coefficient F3 + pose 35 €). « Vérifié » = référence lue sur legrand.fr (oct. 2026) ; « À confirmer » = à valider avec le fournisseur (gamme en cours de renouvellement). Tarif public = indicatif.</t>
  </si>
  <si>
    <t xml:space="preserve">Coefficient de marge</t>
  </si>
  <si>
    <t xml:space="preserve">Désignation</t>
  </si>
  <si>
    <t xml:space="preserve">Réf. Legrand</t>
  </si>
  <si>
    <t xml:space="preserve">Usage dans le devis</t>
  </si>
  <si>
    <t xml:space="preserve">Tarif public HT (info)</t>
  </si>
  <si>
    <t xml:space="preserve">Ton prix achat HT</t>
  </si>
  <si>
    <t xml:space="preserve">Total achat HT</t>
  </si>
  <si>
    <t xml:space="preserve">Statut</t>
  </si>
  <si>
    <t xml:space="preserve">Prix vente HT (achat × coef)</t>
  </si>
  <si>
    <t xml:space="preserve">PASSERELLE ET TABLEAU CONNECTÉ</t>
  </si>
  <si>
    <t xml:space="preserve">Pack de démarrage Drivia with Netatmo : module Control + contacteur connecté</t>
  </si>
  <si>
    <t xml:space="preserve">412191B</t>
  </si>
  <si>
    <t xml:space="preserve">Passerelle de toute l'installation (au tableau) + pilotage du cumulus</t>
  </si>
  <si>
    <t xml:space="preserve">Vérifié</t>
  </si>
  <si>
    <t xml:space="preserve">Module de mesure de consommation connecté Drivia with Netatmo</t>
  </si>
  <si>
    <t xml:space="preserve">412015</t>
  </si>
  <si>
    <t xml:space="preserve">Suivi des consommations au tableau</t>
  </si>
  <si>
    <t xml:space="preserve">À confirmer</t>
  </si>
  <si>
    <t xml:space="preserve">(Alternative) Pack de démarrage Céliane with Netatmo : prise Control + commande Départ/Arrivée, blanc</t>
  </si>
  <si>
    <t xml:space="preserve">CB0443</t>
  </si>
  <si>
    <t xml:space="preserve">Seulement si on ne prend pas la passerelle Drivia</t>
  </si>
  <si>
    <t xml:space="preserve">ÉCLAIRAGE ET COMMANDES CONNECTÉES CÉLIANE WITH NETATMO</t>
  </si>
  <si>
    <t xml:space="preserve">Interrupteur filaire connecté avec neutre, option variation, avec support et enjoliveur blanc</t>
  </si>
  <si>
    <t xml:space="preserve">CB0409</t>
  </si>
  <si>
    <t xml:space="preserve">Éclairage pièces (14), balcons (2), variateur bibliothèque (1), brumisateurs + ventilateurs (4), filtre à air (1)</t>
  </si>
  <si>
    <t xml:space="preserve">Commande sans fils Self-e (sans pile) éclairage et prises, avec support et enjoliveur blanc</t>
  </si>
  <si>
    <t xml:space="preserve">CB0420</t>
  </si>
  <si>
    <t xml:space="preserve">Va-et-vient : têtes de lit (3), séjour (1), dégagement (1)</t>
  </si>
  <si>
    <t xml:space="preserve">Commande générale sans fils Départ/Arrivée, avec support et enjoliveur blanc</t>
  </si>
  <si>
    <t xml:space="preserve">CB0400</t>
  </si>
  <si>
    <t xml:space="preserve">Entrée</t>
  </si>
  <si>
    <t xml:space="preserve">Commande Lever/Coucher Self-e sans fils, sans pile, avec support et enjoliveur blanc</t>
  </si>
  <si>
    <t xml:space="preserve">CB0423</t>
  </si>
  <si>
    <t xml:space="preserve">Chambre parentale (remplacée par 064884L à épuisement)</t>
  </si>
  <si>
    <t xml:space="preserve">VOLETS ROULANTS ET STORES</t>
  </si>
  <si>
    <t xml:space="preserve">Interrupteur connecté pour volets roulants et stores, avec support et enjoliveur blanc</t>
  </si>
  <si>
    <t xml:space="preserve">CB0431</t>
  </si>
  <si>
    <t xml:space="preserve">6 volets + 2 stores (moteurs filaires obligatoires)</t>
  </si>
  <si>
    <t xml:space="preserve">Commande sans fils pour volets roulants, avec support et enjoliveur blanc</t>
  </si>
  <si>
    <t xml:space="preserve">CB0432</t>
  </si>
  <si>
    <t xml:space="preserve">Commande générale des volets</t>
  </si>
  <si>
    <t xml:space="preserve">PRISES</t>
  </si>
  <si>
    <t xml:space="preserve">Prise connectée 16 A Céliane with Netatmo avec support et enjoliveur blanc (mesure conso)</t>
  </si>
  <si>
    <t xml:space="preserve">CB0460</t>
  </si>
  <si>
    <t xml:space="preserve">Séjour (2), chambres (3)</t>
  </si>
  <si>
    <t xml:space="preserve">Prise 2P+T Céliane bornes automatiques (mécanisme)</t>
  </si>
  <si>
    <t xml:space="preserve">CM0111</t>
  </si>
  <si>
    <t xml:space="preserve">Prises standard</t>
  </si>
  <si>
    <t xml:space="preserve">Enjoliveur prise 2P+T Surface Confort Céliane blanc</t>
  </si>
  <si>
    <t xml:space="preserve">CB0111</t>
  </si>
  <si>
    <t xml:space="preserve">Support Céliane 1 poste (pour mécanismes CM)</t>
  </si>
  <si>
    <t xml:space="preserve">à confirmer</t>
  </si>
  <si>
    <t xml:space="preserve">Prises standard + RJ45</t>
  </si>
  <si>
    <t xml:space="preserve">Prise RJ45 Céliane cat. 6A STP grade 3TV (mécanisme)</t>
  </si>
  <si>
    <t xml:space="preserve">CM0346</t>
  </si>
  <si>
    <t xml:space="preserve">Enjoliveur RJ45 grade 3TV Céliane blanc</t>
  </si>
  <si>
    <t xml:space="preserve">CB0346</t>
  </si>
  <si>
    <t xml:space="preserve">Prise 2P+T Plexo étanche IP55 gris à composer</t>
  </si>
  <si>
    <t xml:space="preserve">069551L</t>
  </si>
  <si>
    <t xml:space="preserve">Balcons</t>
  </si>
  <si>
    <t xml:space="preserve">Boîtier saillie Plexo 1 poste (ou support encastré 069681L)</t>
  </si>
  <si>
    <t xml:space="preserve">069651L</t>
  </si>
  <si>
    <t xml:space="preserve">Plaque de finition Céliane 1 poste (finition au choix de la cliente)</t>
  </si>
  <si>
    <t xml:space="preserve">selon finition</t>
  </si>
  <si>
    <t xml:space="preserve">1 par appareil Céliane (67)</t>
  </si>
  <si>
    <t xml:space="preserve">SÉCURITÉ NETATMO</t>
  </si>
  <si>
    <t xml:space="preserve">Détecteur de fumée intelligent Netatmo (pile 10 ans)</t>
  </si>
  <si>
    <t xml:space="preserve">NSA-PRO-FR</t>
  </si>
  <si>
    <t xml:space="preserve">Hall, dégagement, séjour</t>
  </si>
  <si>
    <t xml:space="preserve">Caméra intérieure intelligente Netatmo (centrale de l'alarme)</t>
  </si>
  <si>
    <t xml:space="preserve">NSC-PRO</t>
  </si>
  <si>
    <t xml:space="preserve">Hall d'entrée – pas de prix Rexel, prix devis estimé</t>
  </si>
  <si>
    <t xml:space="preserve">Sirène intérieure intelligente Netatmo</t>
  </si>
  <si>
    <t xml:space="preserve">NIS01-PRO</t>
  </si>
  <si>
    <t xml:space="preserve">Hall</t>
  </si>
  <si>
    <t xml:space="preserve">Caméra extérieure intelligente Netatmo (NOC-S-PRO = avec sirène)</t>
  </si>
  <si>
    <t xml:space="preserve">NOC-PRO</t>
  </si>
  <si>
    <t xml:space="preserve">Balcons – pas de prix Rexel, prix devis estimé</t>
  </si>
  <si>
    <t xml:space="preserve">Tableau électrique (coffret Drivia 4 rangées, GTL 13 modules, 6 interrupteurs différentiels, 38 disjoncteurs DX3, parafoudre, contacteur jour/nuit, tableau de communication grade 3TV) : à chiffrer par le fournisseur sur la liste de l'onglet « Tableau électrique ».</t>
  </si>
  <si>
    <t xml:space="preserve">Répartition prévisionnelle des circuits – coffret Drivia 4 rangées (hall d'entrée)</t>
  </si>
  <si>
    <t xml:space="preserve">En tête : disjoncteur de branchement Enedis, parafoudre type 2, module Control Drivia with Netatmo + mesure.</t>
  </si>
  <si>
    <t xml:space="preserve">Différentiel 30 mA</t>
  </si>
  <si>
    <t xml:space="preserve">Disjoncteur</t>
  </si>
  <si>
    <t xml:space="preserve">Section</t>
  </si>
  <si>
    <t xml:space="preserve">ID1 – 40 A type A</t>
  </si>
  <si>
    <t xml:space="preserve">Éclairage zone jour (séjour, bibliothèque, cuisine, hall)</t>
  </si>
  <si>
    <t xml:space="preserve">10 A</t>
  </si>
  <si>
    <t xml:space="preserve">1,5 mm²</t>
  </si>
  <si>
    <t xml:space="preserve">Éclairage zone nuit (chambres, dégagement, dressing)</t>
  </si>
  <si>
    <t xml:space="preserve">Prises séjour (7)</t>
  </si>
  <si>
    <t xml:space="preserve">20 A</t>
  </si>
  <si>
    <t xml:space="preserve">2,5 mm²</t>
  </si>
  <si>
    <t xml:space="preserve">Prises chambres 1 et 2 (6)</t>
  </si>
  <si>
    <t xml:space="preserve">16 A</t>
  </si>
  <si>
    <t xml:space="preserve">Volets roulants (6)</t>
  </si>
  <si>
    <t xml:space="preserve">Stores balcons (2)</t>
  </si>
  <si>
    <t xml:space="preserve">Coffret de communication</t>
  </si>
  <si>
    <t xml:space="preserve">Filtre à air</t>
  </si>
  <si>
    <t xml:space="preserve">2 A</t>
  </si>
  <si>
    <t xml:space="preserve">ID2 – 40 A type A</t>
  </si>
  <si>
    <t xml:space="preserve">Éclairage SDB 1, SDB 2, WC, buanderie</t>
  </si>
  <si>
    <t xml:space="preserve">Éclairage balcons (extérieur)</t>
  </si>
  <si>
    <t xml:space="preserve">Prises chambre 3, hall, dégagement (5)</t>
  </si>
  <si>
    <t xml:space="preserve">Prises SDB 1, SDB 2 (2)</t>
  </si>
  <si>
    <t xml:space="preserve">Balcons : prises, brumisateurs + ventilateurs</t>
  </si>
  <si>
    <t xml:space="preserve">Porte électrique WC</t>
  </si>
  <si>
    <t xml:space="preserve">Alarme / caméras</t>
  </si>
  <si>
    <t xml:space="preserve">Filtre à eau (sous évier)</t>
  </si>
  <si>
    <t xml:space="preserve">ID3 – 40 A type A</t>
  </si>
  <si>
    <t xml:space="preserve">Prises cuisine : plan de travail + frigo (6)</t>
  </si>
  <si>
    <t xml:space="preserve">Four</t>
  </si>
  <si>
    <t xml:space="preserve">Lave-vaisselle</t>
  </si>
  <si>
    <t xml:space="preserve">Congélateur (buanderie)</t>
  </si>
  <si>
    <t xml:space="preserve">Sèche-linge (buanderie)</t>
  </si>
  <si>
    <t xml:space="preserve">Hotte</t>
  </si>
  <si>
    <t xml:space="preserve">Chauffe-eau (buanderie) via contacteur jour/nuit</t>
  </si>
  <si>
    <t xml:space="preserve">ID4 – 40 A type F</t>
  </si>
  <si>
    <t xml:space="preserve">Plaque de cuisson</t>
  </si>
  <si>
    <t xml:space="preserve">32 A</t>
  </si>
  <si>
    <t xml:space="preserve">6 mm²</t>
  </si>
  <si>
    <t xml:space="preserve">Lave-linge (buanderie)</t>
  </si>
  <si>
    <t xml:space="preserve">Climatisation séjour (attente UE)</t>
  </si>
  <si>
    <t xml:space="preserve">Climatisation chambre 1</t>
  </si>
  <si>
    <t xml:space="preserve">Climatisation chambre 2</t>
  </si>
  <si>
    <t xml:space="preserve">Climatisation chambre 3</t>
  </si>
  <si>
    <t xml:space="preserve">ID5 – 63 A type A</t>
  </si>
  <si>
    <t xml:space="preserve">Plancher chauffant séjour</t>
  </si>
  <si>
    <t xml:space="preserve">Plancher chauffant cuisine</t>
  </si>
  <si>
    <t xml:space="preserve">Plancher chauffant hall / dégagement</t>
  </si>
  <si>
    <t xml:space="preserve">Plancher chauffant buanderie / dressing</t>
  </si>
  <si>
    <t xml:space="preserve">ID6 – 63 A type A</t>
  </si>
  <si>
    <t xml:space="preserve">Plancher chauffant chambre 1</t>
  </si>
  <si>
    <t xml:space="preserve">Plancher chauffant chambre 2</t>
  </si>
  <si>
    <t xml:space="preserve">Plancher chauffant chambre 3</t>
  </si>
  <si>
    <t xml:space="preserve">Plancher chauffant salle de bain 1</t>
  </si>
  <si>
    <t xml:space="preserve">Plancher chauffant salle de bain 2</t>
  </si>
  <si>
    <t xml:space="preserve">Nombre de circuits</t>
  </si>
  <si>
    <t xml:space="preserve">Nombre maximum de circuits par différentiel (8 recommandé)</t>
  </si>
  <si>
    <t xml:space="preserve">Hypothèses retenues et points à vérifier lors de la visite</t>
  </si>
  <si>
    <t xml:space="preserve">•</t>
  </si>
  <si>
    <t xml:space="preserve">SANS CONTACT : à valider avec la cliente. Devis établi avec des interrupteurs connectés Céliane with Netatmo partout (pas de tactile dans cette gamme) ; le sans contact passe par la voix et le smartphone.</t>
  </si>
  <si>
    <t xml:space="preserve">PUISSANCE : plancher chauffant (~8,5 kW) + 4 climatisations + cuisson → vérifier l'abonnement (probablement 18 kVA mono ou passage en triphasé). Délesteur conseillé (en option).</t>
  </si>
  <si>
    <t xml:space="preserve">PLANCHER CHAUFFANT ÉLECTRIQUE : alimentations en attente uniquement. Trames et thermostats fournis et posés par le fournisseur du plancher (prévoir leurs thermostats compatibles smartphone si la cliente veut tout piloter).</t>
  </si>
  <si>
    <t xml:space="preserve">BUANDERIE : lave-linge, sèche-linge, congélateur et chauffe-eau. Vérifier la place (2,56 m² sur le plan) et le passage des câbles.</t>
  </si>
  <si>
    <t xml:space="preserve">BIBLIOTHÈQUE DU SÉJOUR : emplacement à définir ; alimentation + variateur connecté prévus, spots (variante A) ou ruban LED (variante B) en option.</t>
  </si>
  <si>
    <t xml:space="preserve">VOLETS : 6 estimés d'après le plan (3 chambres, 2 séjour, 1 cuisine). STORES : 2 estimés (balcons). À compter sur place.</t>
  </si>
  <si>
    <t xml:space="preserve">CAMÉRAS : 3 points d'alimentation + 2 caméras extérieures fournies – à confirmer avec la cliente (ou alimentation seule).</t>
  </si>
  <si>
    <t xml:space="preserve">PIÈCES : la cliente annonce 3 chambres, séjour, cuisine, buanderie, dressing, 2 SDB, WC. Les « SÉCH. » / « RANGT. » du plan sont supposés être la buanderie et le dressing.</t>
  </si>
  <si>
    <t xml:space="preserve">PRISES : nombre minimum NF C 15-100 (séjour 7, chambres 3, cuisine 6, SDB 1, hall et dégagement 1). Dressing, buanderie et WC &lt; 4 m² : pas de prise imposée. Balcons : 1 prise étanche par balcon (demande client).</t>
  </si>
  <si>
    <t xml:space="preserve">Saignées : 160 ml murs + 70 ml sol estimés pour un immeuble béton – à recaler à la visite (ce poste pèse lourd dans le total).</t>
  </si>
  <si>
    <t xml:space="preserve">PRIX : appareillage connecté et Netatmo = prix d'achat Rexel × 1,40 + pose 35 € par appareil ; création des circuits depuis le tableau = 190 € par circuit (38 circuits), dérivations vers les points comptées à part. Caméras NSC-PRO / NOC-PRO : pas de prix Rexel, prix estimés.</t>
  </si>
  <si>
    <t xml:space="preserve">Légende : chiffres en BLEU = quantités / prix modifiables. Montants sans TVA (micro-entreprise, art. 293 B du CGI).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</si>
</sst>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\-#,##0.00&quot; €&quot;;\-"/>
    <numFmt numFmtId="166" formatCode="0.00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1E8E3E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22222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1E8E3E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24.45" hidden="false" customHeight="false" outlineLevel="0" collapsed="false">
      <c r="A1" s="1" t="s">
        <v>0</v>
      </c>
      <c r="E1" s="2" t="s">
        <v>1</v>
      </c>
      <c r="F1" s="3" t="s">
        <v>2</v>
      </c>
    </row>
    <row r="2" customFormat="false" ht="15" hidden="false" customHeight="false" outlineLevel="0" collapsed="false">
      <c r="A2" s="4" t="s">
        <v>3</v>
      </c>
      <c r="E2" s="2" t="s">
        <v>4</v>
      </c>
      <c r="F2" s="3" t="s">
        <v>5</v>
      </c>
    </row>
    <row r="3" customFormat="false" ht="15" hidden="false" customHeight="false" outlineLevel="0" collapsed="false">
      <c r="A3" s="5" t="s">
        <v>6</v>
      </c>
      <c r="E3" s="2" t="s">
        <v>7</v>
      </c>
      <c r="F3" s="3" t="s">
        <v>8</v>
      </c>
    </row>
    <row r="4" customFormat="false" ht="15" hidden="false" customHeight="false" outlineLevel="0" collapsed="false">
      <c r="A4" s="5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39.75" hidden="false" customHeight="true" outlineLevel="0" collapsed="false">
      <c r="A7" s="2" t="s">
        <v>12</v>
      </c>
      <c r="B7" s="6" t="s">
        <v>13</v>
      </c>
    </row>
    <row r="9" customFormat="false" ht="15" hidden="false" customHeight="false" outlineLevel="0" collapsed="false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  <c r="F9" s="7" t="s">
        <v>19</v>
      </c>
    </row>
    <row r="10" customFormat="false" ht="15" hidden="false" customHeight="false" outlineLevel="0" collapsed="false">
      <c r="A10" s="8" t="s">
        <v>20</v>
      </c>
      <c r="B10" s="9" t="s">
        <v>21</v>
      </c>
      <c r="C10" s="9"/>
      <c r="D10" s="9"/>
      <c r="E10" s="9"/>
      <c r="F10" s="9"/>
    </row>
    <row r="11" customFormat="false" ht="25.5" hidden="false" customHeight="true" outlineLevel="0" collapsed="false">
      <c r="A11" s="10" t="s">
        <v>22</v>
      </c>
      <c r="B11" s="11" t="s">
        <v>23</v>
      </c>
      <c r="C11" s="10" t="s">
        <v>24</v>
      </c>
      <c r="D11" s="12" t="n">
        <v>1</v>
      </c>
      <c r="E11" s="13" t="n">
        <v>650</v>
      </c>
      <c r="F11" s="14" t="n">
        <f aca="false">D11*E11</f>
        <v>650</v>
      </c>
    </row>
    <row r="12" customFormat="false" ht="25.5" hidden="false" customHeight="true" outlineLevel="0" collapsed="false">
      <c r="A12" s="10" t="s">
        <v>25</v>
      </c>
      <c r="B12" s="11" t="s">
        <v>26</v>
      </c>
      <c r="C12" s="10" t="s">
        <v>24</v>
      </c>
      <c r="D12" s="12" t="n">
        <v>1</v>
      </c>
      <c r="E12" s="13" t="n">
        <v>850</v>
      </c>
      <c r="F12" s="14" t="n">
        <f aca="false">D12*E12</f>
        <v>850</v>
      </c>
    </row>
    <row r="13" customFormat="false" ht="15" hidden="false" customHeight="false" outlineLevel="0" collapsed="false">
      <c r="E13" s="15" t="s">
        <v>27</v>
      </c>
      <c r="F13" s="16" t="n">
        <f aca="false">SUM(F11:F12)</f>
        <v>1500</v>
      </c>
    </row>
    <row r="15" customFormat="false" ht="15" hidden="false" customHeight="false" outlineLevel="0" collapsed="false">
      <c r="A15" s="8" t="s">
        <v>28</v>
      </c>
      <c r="B15" s="9" t="s">
        <v>29</v>
      </c>
      <c r="C15" s="9"/>
      <c r="D15" s="9"/>
      <c r="E15" s="9"/>
      <c r="F15" s="9"/>
    </row>
    <row r="16" customFormat="false" ht="15" hidden="false" customHeight="true" outlineLevel="0" collapsed="false">
      <c r="A16" s="10" t="s">
        <v>30</v>
      </c>
      <c r="B16" s="11" t="s">
        <v>31</v>
      </c>
      <c r="C16" s="10" t="s">
        <v>32</v>
      </c>
      <c r="D16" s="12" t="n">
        <v>160</v>
      </c>
      <c r="E16" s="13" t="n">
        <v>30</v>
      </c>
      <c r="F16" s="14" t="n">
        <f aca="false">D16*E16</f>
        <v>4800</v>
      </c>
    </row>
    <row r="17" customFormat="false" ht="15" hidden="false" customHeight="true" outlineLevel="0" collapsed="false">
      <c r="A17" s="10" t="s">
        <v>33</v>
      </c>
      <c r="B17" s="11" t="s">
        <v>34</v>
      </c>
      <c r="C17" s="10" t="s">
        <v>32</v>
      </c>
      <c r="D17" s="12" t="n">
        <v>70</v>
      </c>
      <c r="E17" s="13" t="n">
        <v>26</v>
      </c>
      <c r="F17" s="14" t="n">
        <f aca="false">D17*E17</f>
        <v>1820</v>
      </c>
    </row>
    <row r="18" customFormat="false" ht="15" hidden="false" customHeight="true" outlineLevel="0" collapsed="false">
      <c r="A18" s="10" t="s">
        <v>35</v>
      </c>
      <c r="B18" s="11" t="s">
        <v>36</v>
      </c>
      <c r="C18" s="10" t="s">
        <v>37</v>
      </c>
      <c r="D18" s="12" t="n">
        <v>140</v>
      </c>
      <c r="E18" s="13" t="n">
        <v>9</v>
      </c>
      <c r="F18" s="14" t="n">
        <f aca="false">D18*E18</f>
        <v>1260</v>
      </c>
    </row>
    <row r="19" customFormat="false" ht="15" hidden="false" customHeight="true" outlineLevel="0" collapsed="false">
      <c r="A19" s="10" t="s">
        <v>38</v>
      </c>
      <c r="B19" s="11" t="s">
        <v>39</v>
      </c>
      <c r="C19" s="10" t="s">
        <v>37</v>
      </c>
      <c r="D19" s="12" t="n">
        <v>10</v>
      </c>
      <c r="E19" s="13" t="n">
        <v>45</v>
      </c>
      <c r="F19" s="14" t="n">
        <f aca="false">D19*E19</f>
        <v>450</v>
      </c>
    </row>
    <row r="20" customFormat="false" ht="15" hidden="false" customHeight="true" outlineLevel="0" collapsed="false">
      <c r="A20" s="10" t="s">
        <v>40</v>
      </c>
      <c r="B20" s="11" t="s">
        <v>41</v>
      </c>
      <c r="C20" s="10" t="s">
        <v>32</v>
      </c>
      <c r="D20" s="12" t="n">
        <v>230</v>
      </c>
      <c r="E20" s="13" t="n">
        <v>7</v>
      </c>
      <c r="F20" s="14" t="n">
        <f aca="false">D20*E20</f>
        <v>1610</v>
      </c>
    </row>
    <row r="21" customFormat="false" ht="15" hidden="false" customHeight="false" outlineLevel="0" collapsed="false">
      <c r="E21" s="15" t="s">
        <v>42</v>
      </c>
      <c r="F21" s="16" t="n">
        <f aca="false">SUM(F16:F20)</f>
        <v>9940</v>
      </c>
    </row>
    <row r="23" customFormat="false" ht="15" hidden="false" customHeight="false" outlineLevel="0" collapsed="false">
      <c r="A23" s="8" t="s">
        <v>43</v>
      </c>
      <c r="B23" s="9" t="s">
        <v>44</v>
      </c>
      <c r="C23" s="9"/>
      <c r="D23" s="9"/>
      <c r="E23" s="9"/>
      <c r="F23" s="9"/>
    </row>
    <row r="24" customFormat="false" ht="15" hidden="false" customHeight="true" outlineLevel="0" collapsed="false">
      <c r="A24" s="10" t="s">
        <v>45</v>
      </c>
      <c r="B24" s="11" t="s">
        <v>46</v>
      </c>
      <c r="C24" s="10" t="s">
        <v>37</v>
      </c>
      <c r="D24" s="12" t="n">
        <v>1</v>
      </c>
      <c r="E24" s="13" t="n">
        <v>420</v>
      </c>
      <c r="F24" s="14" t="n">
        <f aca="false">D24*E24</f>
        <v>420</v>
      </c>
    </row>
    <row r="25" customFormat="false" ht="15" hidden="false" customHeight="true" outlineLevel="0" collapsed="false">
      <c r="A25" s="10" t="s">
        <v>47</v>
      </c>
      <c r="B25" s="11" t="s">
        <v>48</v>
      </c>
      <c r="C25" s="10" t="s">
        <v>37</v>
      </c>
      <c r="D25" s="12" t="n">
        <v>1</v>
      </c>
      <c r="E25" s="13" t="n">
        <v>460</v>
      </c>
      <c r="F25" s="14" t="n">
        <f aca="false">D25*E25</f>
        <v>460</v>
      </c>
    </row>
    <row r="26" customFormat="false" ht="25.5" hidden="false" customHeight="true" outlineLevel="0" collapsed="false">
      <c r="A26" s="10" t="s">
        <v>49</v>
      </c>
      <c r="B26" s="11" t="s">
        <v>50</v>
      </c>
      <c r="C26" s="10" t="s">
        <v>37</v>
      </c>
      <c r="D26" s="12" t="n">
        <v>3</v>
      </c>
      <c r="E26" s="13" t="n">
        <v>175</v>
      </c>
      <c r="F26" s="14" t="n">
        <f aca="false">D26*E26</f>
        <v>525</v>
      </c>
    </row>
    <row r="27" customFormat="false" ht="25.5" hidden="false" customHeight="true" outlineLevel="0" collapsed="false">
      <c r="A27" s="10" t="s">
        <v>51</v>
      </c>
      <c r="B27" s="11" t="s">
        <v>52</v>
      </c>
      <c r="C27" s="10" t="s">
        <v>37</v>
      </c>
      <c r="D27" s="12" t="n">
        <v>1</v>
      </c>
      <c r="E27" s="13" t="n">
        <v>260</v>
      </c>
      <c r="F27" s="14" t="n">
        <f aca="false">D27*E27</f>
        <v>260</v>
      </c>
    </row>
    <row r="28" customFormat="false" ht="15" hidden="false" customHeight="true" outlineLevel="0" collapsed="false">
      <c r="A28" s="10" t="s">
        <v>53</v>
      </c>
      <c r="B28" s="11" t="s">
        <v>54</v>
      </c>
      <c r="C28" s="10" t="s">
        <v>37</v>
      </c>
      <c r="D28" s="12" t="n">
        <v>2</v>
      </c>
      <c r="E28" s="13" t="n">
        <v>210</v>
      </c>
      <c r="F28" s="14" t="n">
        <f aca="false">D28*E28</f>
        <v>420</v>
      </c>
    </row>
    <row r="29" customFormat="false" ht="15" hidden="false" customHeight="true" outlineLevel="0" collapsed="false">
      <c r="A29" s="10" t="s">
        <v>55</v>
      </c>
      <c r="B29" s="11" t="s">
        <v>56</v>
      </c>
      <c r="C29" s="10" t="s">
        <v>37</v>
      </c>
      <c r="D29" s="12" t="n">
        <v>1</v>
      </c>
      <c r="E29" s="13" t="n">
        <v>38</v>
      </c>
      <c r="F29" s="14" t="n">
        <f aca="false">D29*E29</f>
        <v>38</v>
      </c>
    </row>
    <row r="30" customFormat="false" ht="15" hidden="false" customHeight="true" outlineLevel="0" collapsed="false">
      <c r="A30" s="10" t="s">
        <v>57</v>
      </c>
      <c r="B30" s="11" t="s">
        <v>58</v>
      </c>
      <c r="C30" s="10" t="s">
        <v>37</v>
      </c>
      <c r="D30" s="12" t="n">
        <v>4</v>
      </c>
      <c r="E30" s="13" t="n">
        <v>38</v>
      </c>
      <c r="F30" s="14" t="n">
        <f aca="false">D30*E30</f>
        <v>152</v>
      </c>
    </row>
    <row r="31" customFormat="false" ht="25.5" hidden="false" customHeight="true" outlineLevel="0" collapsed="false">
      <c r="A31" s="10" t="s">
        <v>59</v>
      </c>
      <c r="B31" s="11" t="s">
        <v>60</v>
      </c>
      <c r="C31" s="10" t="s">
        <v>37</v>
      </c>
      <c r="D31" s="12" t="n">
        <v>11</v>
      </c>
      <c r="E31" s="13" t="n">
        <v>38</v>
      </c>
      <c r="F31" s="14" t="n">
        <f aca="false">D31*E31</f>
        <v>418</v>
      </c>
    </row>
    <row r="32" customFormat="false" ht="15" hidden="false" customHeight="true" outlineLevel="0" collapsed="false">
      <c r="A32" s="10" t="s">
        <v>61</v>
      </c>
      <c r="B32" s="11" t="s">
        <v>62</v>
      </c>
      <c r="C32" s="10" t="s">
        <v>37</v>
      </c>
      <c r="D32" s="12" t="n">
        <v>9</v>
      </c>
      <c r="E32" s="13" t="n">
        <v>38</v>
      </c>
      <c r="F32" s="14" t="n">
        <f aca="false">D32*E32</f>
        <v>342</v>
      </c>
    </row>
    <row r="33" customFormat="false" ht="25.5" hidden="false" customHeight="true" outlineLevel="0" collapsed="false">
      <c r="A33" s="10" t="s">
        <v>63</v>
      </c>
      <c r="B33" s="11" t="s">
        <v>64</v>
      </c>
      <c r="C33" s="10" t="s">
        <v>37</v>
      </c>
      <c r="D33" s="12" t="n">
        <v>12</v>
      </c>
      <c r="E33" s="13" t="n">
        <v>42</v>
      </c>
      <c r="F33" s="14" t="n">
        <f aca="false">D33*E33</f>
        <v>504</v>
      </c>
    </row>
    <row r="34" customFormat="false" ht="15" hidden="false" customHeight="true" outlineLevel="0" collapsed="false">
      <c r="A34" s="10" t="s">
        <v>65</v>
      </c>
      <c r="B34" s="11" t="s">
        <v>66</v>
      </c>
      <c r="C34" s="10" t="s">
        <v>37</v>
      </c>
      <c r="D34" s="12" t="n">
        <v>1</v>
      </c>
      <c r="E34" s="13" t="n">
        <v>48</v>
      </c>
      <c r="F34" s="14" t="n">
        <f aca="false">D34*E34</f>
        <v>48</v>
      </c>
    </row>
    <row r="35" customFormat="false" ht="15" hidden="false" customHeight="true" outlineLevel="0" collapsed="false">
      <c r="A35" s="10" t="s">
        <v>67</v>
      </c>
      <c r="B35" s="11" t="s">
        <v>68</v>
      </c>
      <c r="C35" s="10" t="s">
        <v>37</v>
      </c>
      <c r="D35" s="12" t="n">
        <v>1</v>
      </c>
      <c r="E35" s="13" t="n">
        <v>95</v>
      </c>
      <c r="F35" s="14" t="n">
        <f aca="false">D35*E35</f>
        <v>95</v>
      </c>
    </row>
    <row r="36" customFormat="false" ht="15" hidden="false" customHeight="true" outlineLevel="0" collapsed="false">
      <c r="A36" s="10" t="s">
        <v>69</v>
      </c>
      <c r="B36" s="11" t="s">
        <v>70</v>
      </c>
      <c r="C36" s="10" t="s">
        <v>37</v>
      </c>
      <c r="D36" s="12" t="n">
        <v>1</v>
      </c>
      <c r="E36" s="13" t="n">
        <v>340</v>
      </c>
      <c r="F36" s="14" t="n">
        <f aca="false">D36*E36</f>
        <v>340</v>
      </c>
    </row>
    <row r="37" customFormat="false" ht="25.5" hidden="false" customHeight="true" outlineLevel="0" collapsed="false">
      <c r="A37" s="10" t="s">
        <v>71</v>
      </c>
      <c r="B37" s="11" t="s">
        <v>72</v>
      </c>
      <c r="C37" s="10" t="s">
        <v>37</v>
      </c>
      <c r="D37" s="12" t="n">
        <v>1</v>
      </c>
      <c r="E37" s="14" t="n">
        <f aca="false">ROUND('Références fournisseur'!$I$7*1+'Références fournisseur'!$I$8*1+35,2)</f>
        <v>439.31</v>
      </c>
      <c r="F37" s="14" t="n">
        <f aca="false">D37*E37</f>
        <v>439.31</v>
      </c>
    </row>
    <row r="38" customFormat="false" ht="15" hidden="false" customHeight="true" outlineLevel="0" collapsed="false">
      <c r="A38" s="10" t="s">
        <v>73</v>
      </c>
      <c r="B38" s="11" t="s">
        <v>74</v>
      </c>
      <c r="C38" s="10" t="s">
        <v>24</v>
      </c>
      <c r="D38" s="12" t="n">
        <v>1</v>
      </c>
      <c r="E38" s="13" t="n">
        <v>480</v>
      </c>
      <c r="F38" s="14" t="n">
        <f aca="false">D38*E38</f>
        <v>480</v>
      </c>
    </row>
    <row r="39" customFormat="false" ht="25.5" hidden="false" customHeight="true" outlineLevel="0" collapsed="false">
      <c r="A39" s="10" t="s">
        <v>75</v>
      </c>
      <c r="B39" s="11" t="s">
        <v>76</v>
      </c>
      <c r="C39" s="10" t="s">
        <v>37</v>
      </c>
      <c r="D39" s="12" t="n">
        <v>1</v>
      </c>
      <c r="E39" s="13" t="n">
        <v>680</v>
      </c>
      <c r="F39" s="14" t="n">
        <f aca="false">D39*E39</f>
        <v>680</v>
      </c>
    </row>
    <row r="40" customFormat="false" ht="25.5" hidden="false" customHeight="true" outlineLevel="0" collapsed="false">
      <c r="A40" s="10" t="s">
        <v>77</v>
      </c>
      <c r="B40" s="11" t="s">
        <v>78</v>
      </c>
      <c r="C40" s="10" t="s">
        <v>24</v>
      </c>
      <c r="D40" s="12" t="n">
        <v>1</v>
      </c>
      <c r="E40" s="13" t="n">
        <v>290</v>
      </c>
      <c r="F40" s="14" t="n">
        <f aca="false">D40*E40</f>
        <v>290</v>
      </c>
    </row>
    <row r="41" customFormat="false" ht="15" hidden="false" customHeight="false" outlineLevel="0" collapsed="false">
      <c r="E41" s="15" t="s">
        <v>79</v>
      </c>
      <c r="F41" s="16" t="n">
        <f aca="false">SUM(F24:F40)</f>
        <v>5911.31</v>
      </c>
    </row>
    <row r="43" customFormat="false" ht="15" hidden="false" customHeight="false" outlineLevel="0" collapsed="false">
      <c r="A43" s="8" t="s">
        <v>80</v>
      </c>
      <c r="B43" s="9" t="s">
        <v>81</v>
      </c>
      <c r="C43" s="9"/>
      <c r="D43" s="9"/>
      <c r="E43" s="9"/>
      <c r="F43" s="9"/>
    </row>
    <row r="44" customFormat="false" ht="15" hidden="false" customHeight="true" outlineLevel="0" collapsed="false">
      <c r="A44" s="10" t="s">
        <v>82</v>
      </c>
      <c r="B44" s="11" t="s">
        <v>83</v>
      </c>
      <c r="C44" s="10" t="s">
        <v>84</v>
      </c>
      <c r="D44" s="12" t="n">
        <v>4</v>
      </c>
      <c r="E44" s="13" t="n">
        <v>190</v>
      </c>
      <c r="F44" s="14" t="n">
        <f aca="false">D44*E44</f>
        <v>760</v>
      </c>
    </row>
    <row r="45" customFormat="false" ht="25.5" hidden="false" customHeight="true" outlineLevel="0" collapsed="false">
      <c r="A45" s="10" t="s">
        <v>85</v>
      </c>
      <c r="B45" s="11" t="s">
        <v>86</v>
      </c>
      <c r="C45" s="10" t="s">
        <v>84</v>
      </c>
      <c r="D45" s="12" t="n">
        <v>6</v>
      </c>
      <c r="E45" s="13" t="n">
        <v>190</v>
      </c>
      <c r="F45" s="14" t="n">
        <f aca="false">D45*E45</f>
        <v>1140</v>
      </c>
    </row>
    <row r="46" customFormat="false" ht="15" hidden="false" customHeight="true" outlineLevel="0" collapsed="false">
      <c r="A46" s="10" t="s">
        <v>87</v>
      </c>
      <c r="B46" s="11" t="s">
        <v>88</v>
      </c>
      <c r="C46" s="10" t="s">
        <v>84</v>
      </c>
      <c r="D46" s="12" t="n">
        <v>2</v>
      </c>
      <c r="E46" s="13" t="n">
        <v>190</v>
      </c>
      <c r="F46" s="14" t="n">
        <f aca="false">D46*E46</f>
        <v>380</v>
      </c>
    </row>
    <row r="47" customFormat="false" ht="25.5" hidden="false" customHeight="true" outlineLevel="0" collapsed="false">
      <c r="A47" s="10" t="s">
        <v>89</v>
      </c>
      <c r="B47" s="11" t="s">
        <v>90</v>
      </c>
      <c r="C47" s="10" t="s">
        <v>84</v>
      </c>
      <c r="D47" s="12" t="n">
        <v>11</v>
      </c>
      <c r="E47" s="13" t="n">
        <v>190</v>
      </c>
      <c r="F47" s="14" t="n">
        <f aca="false">D47*E47</f>
        <v>2090</v>
      </c>
    </row>
    <row r="48" customFormat="false" ht="15" hidden="false" customHeight="true" outlineLevel="0" collapsed="false">
      <c r="A48" s="10" t="s">
        <v>91</v>
      </c>
      <c r="B48" s="11" t="s">
        <v>92</v>
      </c>
      <c r="C48" s="10" t="s">
        <v>84</v>
      </c>
      <c r="D48" s="12" t="n">
        <v>2</v>
      </c>
      <c r="E48" s="13" t="n">
        <v>190</v>
      </c>
      <c r="F48" s="14" t="n">
        <f aca="false">D48*E48</f>
        <v>380</v>
      </c>
    </row>
    <row r="49" customFormat="false" ht="15" hidden="false" customHeight="true" outlineLevel="0" collapsed="false">
      <c r="A49" s="10" t="s">
        <v>93</v>
      </c>
      <c r="B49" s="11" t="s">
        <v>94</v>
      </c>
      <c r="C49" s="10" t="s">
        <v>84</v>
      </c>
      <c r="D49" s="12" t="n">
        <v>4</v>
      </c>
      <c r="E49" s="13" t="n">
        <v>190</v>
      </c>
      <c r="F49" s="14" t="n">
        <f aca="false">D49*E49</f>
        <v>760</v>
      </c>
    </row>
    <row r="50" customFormat="false" ht="15" hidden="false" customHeight="true" outlineLevel="0" collapsed="false">
      <c r="A50" s="10" t="s">
        <v>95</v>
      </c>
      <c r="B50" s="11" t="s">
        <v>96</v>
      </c>
      <c r="C50" s="10" t="s">
        <v>84</v>
      </c>
      <c r="D50" s="12" t="n">
        <v>9</v>
      </c>
      <c r="E50" s="13" t="n">
        <v>190</v>
      </c>
      <c r="F50" s="14" t="n">
        <f aca="false">D50*E50</f>
        <v>1710</v>
      </c>
    </row>
    <row r="51" customFormat="false" ht="15" hidden="false" customHeight="false" outlineLevel="0" collapsed="false">
      <c r="E51" s="15" t="s">
        <v>97</v>
      </c>
      <c r="F51" s="16" t="n">
        <f aca="false">SUM(F44:F50)</f>
        <v>7220</v>
      </c>
    </row>
    <row r="53" customFormat="false" ht="15" hidden="false" customHeight="false" outlineLevel="0" collapsed="false">
      <c r="A53" s="8" t="s">
        <v>98</v>
      </c>
      <c r="B53" s="9" t="s">
        <v>99</v>
      </c>
      <c r="C53" s="9"/>
      <c r="D53" s="9"/>
      <c r="E53" s="9"/>
      <c r="F53" s="9"/>
    </row>
    <row r="54" customFormat="false" ht="39" hidden="false" customHeight="true" outlineLevel="0" collapsed="false">
      <c r="A54" s="10" t="s">
        <v>100</v>
      </c>
      <c r="B54" s="11" t="s">
        <v>101</v>
      </c>
      <c r="C54" s="10" t="s">
        <v>37</v>
      </c>
      <c r="D54" s="12" t="n">
        <v>18</v>
      </c>
      <c r="E54" s="13" t="n">
        <v>70</v>
      </c>
      <c r="F54" s="14" t="n">
        <f aca="false">D54*E54</f>
        <v>1260</v>
      </c>
    </row>
    <row r="55" customFormat="false" ht="25.5" hidden="false" customHeight="true" outlineLevel="0" collapsed="false">
      <c r="A55" s="10" t="s">
        <v>102</v>
      </c>
      <c r="B55" s="11" t="s">
        <v>103</v>
      </c>
      <c r="C55" s="10" t="s">
        <v>37</v>
      </c>
      <c r="D55" s="12" t="n">
        <v>15</v>
      </c>
      <c r="E55" s="13" t="n">
        <v>45</v>
      </c>
      <c r="F55" s="14" t="n">
        <f aca="false">D55*E55</f>
        <v>675</v>
      </c>
    </row>
    <row r="56" customFormat="false" ht="39" hidden="false" customHeight="true" outlineLevel="0" collapsed="false">
      <c r="A56" s="10" t="s">
        <v>104</v>
      </c>
      <c r="B56" s="11" t="s">
        <v>105</v>
      </c>
      <c r="C56" s="10" t="s">
        <v>37</v>
      </c>
      <c r="D56" s="12" t="n">
        <v>14</v>
      </c>
      <c r="E56" s="14" t="n">
        <f aca="false">ROUND('Références fournisseur'!$I$11*1+'Références fournisseur'!$I$27*1+35,2)</f>
        <v>114.87</v>
      </c>
      <c r="F56" s="14" t="n">
        <f aca="false">D56*E56</f>
        <v>1608.18</v>
      </c>
    </row>
    <row r="57" customFormat="false" ht="25.5" hidden="false" customHeight="true" outlineLevel="0" collapsed="false">
      <c r="A57" s="10" t="s">
        <v>106</v>
      </c>
      <c r="B57" s="11" t="s">
        <v>107</v>
      </c>
      <c r="C57" s="10" t="s">
        <v>37</v>
      </c>
      <c r="D57" s="12" t="n">
        <v>1</v>
      </c>
      <c r="E57" s="13" t="n">
        <v>55</v>
      </c>
      <c r="F57" s="14" t="n">
        <f aca="false">D57*E57</f>
        <v>55</v>
      </c>
    </row>
    <row r="58" customFormat="false" ht="25.5" hidden="false" customHeight="true" outlineLevel="0" collapsed="false">
      <c r="A58" s="10" t="s">
        <v>108</v>
      </c>
      <c r="B58" s="11" t="s">
        <v>109</v>
      </c>
      <c r="C58" s="10" t="s">
        <v>37</v>
      </c>
      <c r="D58" s="12" t="n">
        <v>1</v>
      </c>
      <c r="E58" s="14" t="n">
        <f aca="false">ROUND('Références fournisseur'!$I$11*1+'Références fournisseur'!$I$27*1+35,2)</f>
        <v>114.87</v>
      </c>
      <c r="F58" s="14" t="n">
        <f aca="false">D58*E58</f>
        <v>114.87</v>
      </c>
    </row>
    <row r="59" customFormat="false" ht="25.5" hidden="false" customHeight="true" outlineLevel="0" collapsed="false">
      <c r="A59" s="10" t="s">
        <v>110</v>
      </c>
      <c r="B59" s="11" t="s">
        <v>111</v>
      </c>
      <c r="C59" s="10" t="s">
        <v>37</v>
      </c>
      <c r="D59" s="12" t="n">
        <v>5</v>
      </c>
      <c r="E59" s="14" t="n">
        <f aca="false">ROUND('Références fournisseur'!$I$12*1+'Références fournisseur'!$I$27*1+35,2)</f>
        <v>122.39</v>
      </c>
      <c r="F59" s="14" t="n">
        <f aca="false">D59*E59</f>
        <v>611.95</v>
      </c>
    </row>
    <row r="60" customFormat="false" ht="25.5" hidden="false" customHeight="true" outlineLevel="0" collapsed="false">
      <c r="A60" s="10" t="s">
        <v>112</v>
      </c>
      <c r="B60" s="11" t="s">
        <v>113</v>
      </c>
      <c r="C60" s="10" t="s">
        <v>37</v>
      </c>
      <c r="D60" s="12" t="n">
        <v>1</v>
      </c>
      <c r="E60" s="14" t="n">
        <f aca="false">ROUND('Références fournisseur'!$I$13*1+'Références fournisseur'!$I$27*1+35,2)</f>
        <v>75.53</v>
      </c>
      <c r="F60" s="14" t="n">
        <f aca="false">D60*E60</f>
        <v>75.53</v>
      </c>
    </row>
    <row r="61" customFormat="false" ht="25.5" hidden="false" customHeight="true" outlineLevel="0" collapsed="false">
      <c r="A61" s="10" t="s">
        <v>114</v>
      </c>
      <c r="B61" s="11" t="s">
        <v>115</v>
      </c>
      <c r="C61" s="10" t="s">
        <v>37</v>
      </c>
      <c r="D61" s="12" t="n">
        <v>1</v>
      </c>
      <c r="E61" s="14" t="n">
        <f aca="false">ROUND('Références fournisseur'!$I$14*1+'Références fournisseur'!$I$27*1+35,2)</f>
        <v>84.39</v>
      </c>
      <c r="F61" s="14" t="n">
        <f aca="false">D61*E61</f>
        <v>84.39</v>
      </c>
    </row>
    <row r="62" customFormat="false" ht="15" hidden="false" customHeight="false" outlineLevel="0" collapsed="false">
      <c r="E62" s="15" t="s">
        <v>116</v>
      </c>
      <c r="F62" s="16" t="n">
        <f aca="false">SUM(F54:F61)</f>
        <v>4484.92</v>
      </c>
    </row>
    <row r="64" customFormat="false" ht="15" hidden="false" customHeight="false" outlineLevel="0" collapsed="false">
      <c r="A64" s="8" t="s">
        <v>117</v>
      </c>
      <c r="B64" s="9" t="s">
        <v>118</v>
      </c>
      <c r="C64" s="9"/>
      <c r="D64" s="9"/>
      <c r="E64" s="9"/>
      <c r="F64" s="9"/>
    </row>
    <row r="65" customFormat="false" ht="25.5" hidden="false" customHeight="true" outlineLevel="0" collapsed="false">
      <c r="A65" s="10" t="s">
        <v>119</v>
      </c>
      <c r="B65" s="11" t="s">
        <v>120</v>
      </c>
      <c r="C65" s="10" t="s">
        <v>37</v>
      </c>
      <c r="D65" s="12" t="n">
        <v>26</v>
      </c>
      <c r="E65" s="13" t="n">
        <v>45</v>
      </c>
      <c r="F65" s="14" t="n">
        <f aca="false">D65*E65</f>
        <v>1170</v>
      </c>
    </row>
    <row r="66" customFormat="false" ht="39" hidden="false" customHeight="true" outlineLevel="0" collapsed="false">
      <c r="A66" s="10" t="s">
        <v>121</v>
      </c>
      <c r="B66" s="11" t="s">
        <v>122</v>
      </c>
      <c r="C66" s="10" t="s">
        <v>37</v>
      </c>
      <c r="D66" s="12" t="n">
        <v>21</v>
      </c>
      <c r="E66" s="14" t="n">
        <f aca="false">ROUND('Références fournisseur'!$I$20*1+'Références fournisseur'!$I$21*1+'Références fournisseur'!$I$22*1+'Références fournisseur'!$I$27*1+35,2)</f>
        <v>44.28</v>
      </c>
      <c r="F66" s="14" t="n">
        <f aca="false">D66*E66</f>
        <v>929.88</v>
      </c>
    </row>
    <row r="67" customFormat="false" ht="25.5" hidden="false" customHeight="true" outlineLevel="0" collapsed="false">
      <c r="A67" s="10" t="s">
        <v>123</v>
      </c>
      <c r="B67" s="11" t="s">
        <v>124</v>
      </c>
      <c r="C67" s="10" t="s">
        <v>37</v>
      </c>
      <c r="D67" s="12" t="n">
        <v>5</v>
      </c>
      <c r="E67" s="14" t="n">
        <f aca="false">ROUND('Références fournisseur'!$I$19*1+'Références fournisseur'!$I$27*1+35,2)</f>
        <v>106.68</v>
      </c>
      <c r="F67" s="14" t="n">
        <f aca="false">D67*E67</f>
        <v>533.4</v>
      </c>
    </row>
    <row r="68" customFormat="false" ht="25.5" hidden="false" customHeight="true" outlineLevel="0" collapsed="false">
      <c r="A68" s="10" t="s">
        <v>125</v>
      </c>
      <c r="B68" s="11" t="s">
        <v>126</v>
      </c>
      <c r="C68" s="10" t="s">
        <v>37</v>
      </c>
      <c r="D68" s="12" t="n">
        <v>5</v>
      </c>
      <c r="E68" s="13" t="n">
        <v>65</v>
      </c>
      <c r="F68" s="14" t="n">
        <f aca="false">D68*E68</f>
        <v>325</v>
      </c>
    </row>
    <row r="69" customFormat="false" ht="25.5" hidden="false" customHeight="true" outlineLevel="0" collapsed="false">
      <c r="A69" s="10" t="s">
        <v>127</v>
      </c>
      <c r="B69" s="11" t="s">
        <v>128</v>
      </c>
      <c r="C69" s="10" t="s">
        <v>37</v>
      </c>
      <c r="D69" s="12" t="n">
        <v>5</v>
      </c>
      <c r="E69" s="14" t="n">
        <f aca="false">ROUND('Références fournisseur'!$I$23*1+'Références fournisseur'!$I$24*1+'Références fournisseur'!$I$22*1+'Références fournisseur'!$I$27*1+35,2)</f>
        <v>63.84</v>
      </c>
      <c r="F69" s="14" t="n">
        <f aca="false">D69*E69</f>
        <v>319.2</v>
      </c>
    </row>
    <row r="70" customFormat="false" ht="15" hidden="false" customHeight="false" outlineLevel="0" collapsed="false">
      <c r="E70" s="15" t="s">
        <v>129</v>
      </c>
      <c r="F70" s="16" t="n">
        <f aca="false">SUM(F65:F69)</f>
        <v>3277.48</v>
      </c>
    </row>
    <row r="72" customFormat="false" ht="15" hidden="false" customHeight="false" outlineLevel="0" collapsed="false">
      <c r="A72" s="8" t="s">
        <v>130</v>
      </c>
      <c r="B72" s="9" t="s">
        <v>131</v>
      </c>
      <c r="C72" s="9"/>
      <c r="D72" s="9"/>
      <c r="E72" s="9"/>
      <c r="F72" s="9"/>
    </row>
    <row r="73" customFormat="false" ht="25.5" hidden="false" customHeight="true" outlineLevel="0" collapsed="false">
      <c r="A73" s="10" t="s">
        <v>132</v>
      </c>
      <c r="B73" s="11" t="s">
        <v>133</v>
      </c>
      <c r="C73" s="10" t="s">
        <v>37</v>
      </c>
      <c r="D73" s="12" t="n">
        <v>8</v>
      </c>
      <c r="E73" s="13" t="n">
        <v>60</v>
      </c>
      <c r="F73" s="14" t="n">
        <f aca="false">D73*E73</f>
        <v>480</v>
      </c>
    </row>
    <row r="74" customFormat="false" ht="25.5" hidden="false" customHeight="true" outlineLevel="0" collapsed="false">
      <c r="A74" s="10" t="s">
        <v>134</v>
      </c>
      <c r="B74" s="11" t="s">
        <v>135</v>
      </c>
      <c r="C74" s="10" t="s">
        <v>37</v>
      </c>
      <c r="D74" s="12" t="n">
        <v>6</v>
      </c>
      <c r="E74" s="14" t="n">
        <f aca="false">ROUND('Références fournisseur'!$I$16*1+'Références fournisseur'!$I$27*1+35,2)</f>
        <v>118.83</v>
      </c>
      <c r="F74" s="14" t="n">
        <f aca="false">D74*E74</f>
        <v>712.98</v>
      </c>
    </row>
    <row r="75" customFormat="false" ht="25.5" hidden="false" customHeight="true" outlineLevel="0" collapsed="false">
      <c r="A75" s="10" t="s">
        <v>136</v>
      </c>
      <c r="B75" s="11" t="s">
        <v>137</v>
      </c>
      <c r="C75" s="10" t="s">
        <v>37</v>
      </c>
      <c r="D75" s="12" t="n">
        <v>2</v>
      </c>
      <c r="E75" s="14" t="n">
        <f aca="false">ROUND('Références fournisseur'!$I$16*1+'Références fournisseur'!$I$27*1+35,2)</f>
        <v>118.83</v>
      </c>
      <c r="F75" s="14" t="n">
        <f aca="false">D75*E75</f>
        <v>237.66</v>
      </c>
    </row>
    <row r="76" customFormat="false" ht="25.5" hidden="false" customHeight="true" outlineLevel="0" collapsed="false">
      <c r="A76" s="10" t="s">
        <v>138</v>
      </c>
      <c r="B76" s="11" t="s">
        <v>139</v>
      </c>
      <c r="C76" s="10" t="s">
        <v>37</v>
      </c>
      <c r="D76" s="12" t="n">
        <v>1</v>
      </c>
      <c r="E76" s="14" t="n">
        <f aca="false">ROUND('Références fournisseur'!$I$17*1+'Références fournisseur'!$I$27*1+35,2)</f>
        <v>118.87</v>
      </c>
      <c r="F76" s="14" t="n">
        <f aca="false">D76*E76</f>
        <v>118.87</v>
      </c>
    </row>
    <row r="77" customFormat="false" ht="15" hidden="false" customHeight="false" outlineLevel="0" collapsed="false">
      <c r="E77" s="15" t="s">
        <v>140</v>
      </c>
      <c r="F77" s="16" t="n">
        <f aca="false">SUM(F73:F76)</f>
        <v>1549.51</v>
      </c>
    </row>
    <row r="79" customFormat="false" ht="15" hidden="false" customHeight="false" outlineLevel="0" collapsed="false">
      <c r="A79" s="8" t="s">
        <v>141</v>
      </c>
      <c r="B79" s="9" t="s">
        <v>142</v>
      </c>
      <c r="C79" s="9"/>
      <c r="D79" s="9"/>
      <c r="E79" s="9"/>
      <c r="F79" s="9"/>
    </row>
    <row r="80" customFormat="false" ht="39" hidden="false" customHeight="true" outlineLevel="0" collapsed="false">
      <c r="A80" s="10" t="s">
        <v>143</v>
      </c>
      <c r="B80" s="11" t="s">
        <v>144</v>
      </c>
      <c r="C80" s="10" t="s">
        <v>37</v>
      </c>
      <c r="D80" s="12" t="n">
        <v>9</v>
      </c>
      <c r="E80" s="13" t="n">
        <v>45</v>
      </c>
      <c r="F80" s="14" t="n">
        <f aca="false">D80*E80</f>
        <v>405</v>
      </c>
    </row>
    <row r="81" customFormat="false" ht="15" hidden="false" customHeight="false" outlineLevel="0" collapsed="false">
      <c r="E81" s="15" t="s">
        <v>145</v>
      </c>
      <c r="F81" s="16" t="n">
        <f aca="false">SUM(F80:F80)</f>
        <v>405</v>
      </c>
    </row>
    <row r="83" customFormat="false" ht="15" hidden="false" customHeight="false" outlineLevel="0" collapsed="false">
      <c r="A83" s="8" t="s">
        <v>146</v>
      </c>
      <c r="B83" s="9" t="s">
        <v>147</v>
      </c>
      <c r="C83" s="9"/>
      <c r="D83" s="9"/>
      <c r="E83" s="9"/>
      <c r="F83" s="9"/>
    </row>
    <row r="84" customFormat="false" ht="25.5" hidden="false" customHeight="true" outlineLevel="0" collapsed="false">
      <c r="A84" s="10" t="s">
        <v>148</v>
      </c>
      <c r="B84" s="11" t="s">
        <v>149</v>
      </c>
      <c r="C84" s="10" t="s">
        <v>37</v>
      </c>
      <c r="D84" s="12" t="n">
        <v>4</v>
      </c>
      <c r="E84" s="13" t="n">
        <v>45</v>
      </c>
      <c r="F84" s="14" t="n">
        <f aca="false">D84*E84</f>
        <v>180</v>
      </c>
    </row>
    <row r="85" customFormat="false" ht="15" hidden="false" customHeight="false" outlineLevel="0" collapsed="false">
      <c r="E85" s="15" t="s">
        <v>150</v>
      </c>
      <c r="F85" s="16" t="n">
        <f aca="false">SUM(F84:F84)</f>
        <v>180</v>
      </c>
    </row>
    <row r="87" customFormat="false" ht="15" hidden="false" customHeight="false" outlineLevel="0" collapsed="false">
      <c r="A87" s="8" t="s">
        <v>151</v>
      </c>
      <c r="B87" s="9" t="s">
        <v>152</v>
      </c>
      <c r="C87" s="9"/>
      <c r="D87" s="9"/>
      <c r="E87" s="9"/>
      <c r="F87" s="9"/>
    </row>
    <row r="88" customFormat="false" ht="15" hidden="false" customHeight="true" outlineLevel="0" collapsed="false">
      <c r="A88" s="10" t="s">
        <v>153</v>
      </c>
      <c r="B88" s="11" t="s">
        <v>154</v>
      </c>
      <c r="C88" s="10" t="s">
        <v>37</v>
      </c>
      <c r="D88" s="12" t="n">
        <v>1</v>
      </c>
      <c r="E88" s="13" t="n">
        <v>60</v>
      </c>
      <c r="F88" s="14" t="n">
        <f aca="false">D88*E88</f>
        <v>60</v>
      </c>
    </row>
    <row r="89" customFormat="false" ht="15" hidden="false" customHeight="true" outlineLevel="0" collapsed="false">
      <c r="A89" s="10" t="s">
        <v>155</v>
      </c>
      <c r="B89" s="11" t="s">
        <v>156</v>
      </c>
      <c r="C89" s="10" t="s">
        <v>37</v>
      </c>
      <c r="D89" s="12" t="n">
        <v>1</v>
      </c>
      <c r="E89" s="13" t="n">
        <v>195</v>
      </c>
      <c r="F89" s="14" t="n">
        <f aca="false">D89*E89</f>
        <v>195</v>
      </c>
    </row>
    <row r="90" customFormat="false" ht="15" hidden="false" customHeight="true" outlineLevel="0" collapsed="false">
      <c r="A90" s="10" t="s">
        <v>157</v>
      </c>
      <c r="B90" s="11" t="s">
        <v>158</v>
      </c>
      <c r="C90" s="10" t="s">
        <v>37</v>
      </c>
      <c r="D90" s="12" t="n">
        <v>1</v>
      </c>
      <c r="E90" s="13" t="n">
        <v>195</v>
      </c>
      <c r="F90" s="14" t="n">
        <f aca="false">D90*E90</f>
        <v>195</v>
      </c>
    </row>
    <row r="91" customFormat="false" ht="15" hidden="false" customHeight="true" outlineLevel="0" collapsed="false">
      <c r="A91" s="10" t="s">
        <v>159</v>
      </c>
      <c r="B91" s="11" t="s">
        <v>160</v>
      </c>
      <c r="C91" s="10" t="s">
        <v>37</v>
      </c>
      <c r="D91" s="12" t="n">
        <v>1</v>
      </c>
      <c r="E91" s="13" t="n">
        <v>45</v>
      </c>
      <c r="F91" s="14" t="n">
        <f aca="false">D91*E91</f>
        <v>45</v>
      </c>
    </row>
    <row r="92" customFormat="false" ht="15" hidden="false" customHeight="true" outlineLevel="0" collapsed="false">
      <c r="A92" s="10" t="s">
        <v>161</v>
      </c>
      <c r="B92" s="11" t="s">
        <v>162</v>
      </c>
      <c r="C92" s="10" t="s">
        <v>37</v>
      </c>
      <c r="D92" s="12" t="n">
        <v>1</v>
      </c>
      <c r="E92" s="13" t="n">
        <v>195</v>
      </c>
      <c r="F92" s="14" t="n">
        <f aca="false">D92*E92</f>
        <v>195</v>
      </c>
    </row>
    <row r="93" customFormat="false" ht="15" hidden="false" customHeight="true" outlineLevel="0" collapsed="false">
      <c r="A93" s="10" t="s">
        <v>163</v>
      </c>
      <c r="B93" s="11" t="s">
        <v>164</v>
      </c>
      <c r="C93" s="10" t="s">
        <v>37</v>
      </c>
      <c r="D93" s="12" t="n">
        <v>1</v>
      </c>
      <c r="E93" s="13" t="n">
        <v>195</v>
      </c>
      <c r="F93" s="14" t="n">
        <f aca="false">D93*E93</f>
        <v>195</v>
      </c>
    </row>
    <row r="94" customFormat="false" ht="15" hidden="false" customHeight="true" outlineLevel="0" collapsed="false">
      <c r="A94" s="10" t="s">
        <v>165</v>
      </c>
      <c r="B94" s="11" t="s">
        <v>166</v>
      </c>
      <c r="C94" s="10" t="s">
        <v>37</v>
      </c>
      <c r="D94" s="12" t="n">
        <v>1</v>
      </c>
      <c r="E94" s="13" t="n">
        <v>195</v>
      </c>
      <c r="F94" s="14" t="n">
        <f aca="false">D94*E94</f>
        <v>195</v>
      </c>
    </row>
    <row r="95" customFormat="false" ht="25.5" hidden="false" customHeight="true" outlineLevel="0" collapsed="false">
      <c r="A95" s="10" t="s">
        <v>167</v>
      </c>
      <c r="B95" s="11" t="s">
        <v>168</v>
      </c>
      <c r="C95" s="10" t="s">
        <v>37</v>
      </c>
      <c r="D95" s="12" t="n">
        <v>1</v>
      </c>
      <c r="E95" s="13" t="n">
        <v>45</v>
      </c>
      <c r="F95" s="14" t="n">
        <f aca="false">D95*E95</f>
        <v>45</v>
      </c>
    </row>
    <row r="96" customFormat="false" ht="15" hidden="false" customHeight="true" outlineLevel="0" collapsed="false">
      <c r="A96" s="10" t="s">
        <v>169</v>
      </c>
      <c r="B96" s="11" t="s">
        <v>170</v>
      </c>
      <c r="C96" s="10" t="s">
        <v>37</v>
      </c>
      <c r="D96" s="12" t="n">
        <v>1</v>
      </c>
      <c r="E96" s="13" t="n">
        <v>195</v>
      </c>
      <c r="F96" s="14" t="n">
        <f aca="false">D96*E96</f>
        <v>195</v>
      </c>
    </row>
    <row r="97" customFormat="false" ht="15" hidden="false" customHeight="true" outlineLevel="0" collapsed="false">
      <c r="A97" s="10" t="s">
        <v>171</v>
      </c>
      <c r="B97" s="11" t="s">
        <v>172</v>
      </c>
      <c r="C97" s="10" t="s">
        <v>37</v>
      </c>
      <c r="D97" s="12" t="n">
        <v>1</v>
      </c>
      <c r="E97" s="13" t="n">
        <v>45</v>
      </c>
      <c r="F97" s="14" t="n">
        <f aca="false">D97*E97</f>
        <v>45</v>
      </c>
    </row>
    <row r="98" customFormat="false" ht="25.5" hidden="false" customHeight="true" outlineLevel="0" collapsed="false">
      <c r="A98" s="10" t="s">
        <v>173</v>
      </c>
      <c r="B98" s="11" t="s">
        <v>174</v>
      </c>
      <c r="C98" s="10" t="s">
        <v>37</v>
      </c>
      <c r="D98" s="12" t="n">
        <v>1</v>
      </c>
      <c r="E98" s="14" t="n">
        <f aca="false">ROUND('Références fournisseur'!$I$11*1+'Références fournisseur'!$I$27*1+35,2)</f>
        <v>114.87</v>
      </c>
      <c r="F98" s="14" t="n">
        <f aca="false">D98*E98</f>
        <v>114.87</v>
      </c>
    </row>
    <row r="99" customFormat="false" ht="15" hidden="false" customHeight="true" outlineLevel="0" collapsed="false">
      <c r="A99" s="10" t="s">
        <v>175</v>
      </c>
      <c r="B99" s="11" t="s">
        <v>176</v>
      </c>
      <c r="C99" s="10" t="s">
        <v>37</v>
      </c>
      <c r="D99" s="12" t="n">
        <v>1</v>
      </c>
      <c r="E99" s="13" t="n">
        <v>45</v>
      </c>
      <c r="F99" s="14" t="n">
        <f aca="false">D99*E99</f>
        <v>45</v>
      </c>
    </row>
    <row r="100" customFormat="false" ht="15" hidden="false" customHeight="false" outlineLevel="0" collapsed="false">
      <c r="E100" s="15" t="s">
        <v>177</v>
      </c>
      <c r="F100" s="16" t="n">
        <f aca="false">SUM(F88:F99)</f>
        <v>1524.87</v>
      </c>
    </row>
    <row r="102" customFormat="false" ht="15" hidden="false" customHeight="false" outlineLevel="0" collapsed="false">
      <c r="A102" s="8" t="s">
        <v>178</v>
      </c>
      <c r="B102" s="9" t="s">
        <v>179</v>
      </c>
      <c r="C102" s="9"/>
      <c r="D102" s="9"/>
      <c r="E102" s="9"/>
      <c r="F102" s="9"/>
    </row>
    <row r="103" customFormat="false" ht="25.5" hidden="false" customHeight="true" outlineLevel="0" collapsed="false">
      <c r="A103" s="10" t="s">
        <v>180</v>
      </c>
      <c r="B103" s="11" t="s">
        <v>181</v>
      </c>
      <c r="C103" s="10" t="s">
        <v>37</v>
      </c>
      <c r="D103" s="12" t="n">
        <v>3</v>
      </c>
      <c r="E103" s="13" t="n">
        <v>55</v>
      </c>
      <c r="F103" s="14" t="n">
        <f aca="false">D103*E103</f>
        <v>165</v>
      </c>
    </row>
    <row r="104" customFormat="false" ht="15" hidden="false" customHeight="true" outlineLevel="0" collapsed="false">
      <c r="A104" s="10" t="s">
        <v>182</v>
      </c>
      <c r="B104" s="11" t="s">
        <v>183</v>
      </c>
      <c r="C104" s="10" t="s">
        <v>37</v>
      </c>
      <c r="D104" s="12" t="n">
        <v>2</v>
      </c>
      <c r="E104" s="13" t="n">
        <v>45</v>
      </c>
      <c r="F104" s="14" t="n">
        <f aca="false">D104*E104</f>
        <v>90</v>
      </c>
    </row>
    <row r="105" customFormat="false" ht="25.5" hidden="false" customHeight="true" outlineLevel="0" collapsed="false">
      <c r="A105" s="10" t="s">
        <v>184</v>
      </c>
      <c r="B105" s="11" t="s">
        <v>185</v>
      </c>
      <c r="C105" s="10" t="s">
        <v>37</v>
      </c>
      <c r="D105" s="12" t="n">
        <v>2</v>
      </c>
      <c r="E105" s="14" t="n">
        <f aca="false">ROUND('Références fournisseur'!$I$11*1+'Références fournisseur'!$I$27*1+35,2)</f>
        <v>114.87</v>
      </c>
      <c r="F105" s="14" t="n">
        <f aca="false">D105*E105</f>
        <v>229.74</v>
      </c>
    </row>
    <row r="106" customFormat="false" ht="25.5" hidden="false" customHeight="true" outlineLevel="0" collapsed="false">
      <c r="A106" s="10" t="s">
        <v>186</v>
      </c>
      <c r="B106" s="11" t="s">
        <v>187</v>
      </c>
      <c r="C106" s="10" t="s">
        <v>37</v>
      </c>
      <c r="D106" s="12" t="n">
        <v>4</v>
      </c>
      <c r="E106" s="13" t="n">
        <v>55</v>
      </c>
      <c r="F106" s="14" t="n">
        <f aca="false">D106*E106</f>
        <v>220</v>
      </c>
    </row>
    <row r="107" customFormat="false" ht="25.5" hidden="false" customHeight="true" outlineLevel="0" collapsed="false">
      <c r="A107" s="10" t="s">
        <v>188</v>
      </c>
      <c r="B107" s="11" t="s">
        <v>189</v>
      </c>
      <c r="C107" s="10" t="s">
        <v>37</v>
      </c>
      <c r="D107" s="12" t="n">
        <v>4</v>
      </c>
      <c r="E107" s="14" t="n">
        <f aca="false">ROUND('Références fournisseur'!$I$11*1+'Références fournisseur'!$I$27*1+35,2)</f>
        <v>114.87</v>
      </c>
      <c r="F107" s="14" t="n">
        <f aca="false">D107*E107</f>
        <v>459.48</v>
      </c>
    </row>
    <row r="108" customFormat="false" ht="15" hidden="false" customHeight="true" outlineLevel="0" collapsed="false">
      <c r="A108" s="10" t="s">
        <v>190</v>
      </c>
      <c r="B108" s="11" t="s">
        <v>191</v>
      </c>
      <c r="C108" s="10" t="s">
        <v>37</v>
      </c>
      <c r="D108" s="12" t="n">
        <v>2</v>
      </c>
      <c r="E108" s="13" t="n">
        <v>45</v>
      </c>
      <c r="F108" s="14" t="n">
        <f aca="false">D108*E108</f>
        <v>90</v>
      </c>
    </row>
    <row r="109" customFormat="false" ht="25.5" hidden="false" customHeight="true" outlineLevel="0" collapsed="false">
      <c r="A109" s="10" t="s">
        <v>192</v>
      </c>
      <c r="B109" s="11" t="s">
        <v>193</v>
      </c>
      <c r="C109" s="10" t="s">
        <v>37</v>
      </c>
      <c r="D109" s="12" t="n">
        <v>2</v>
      </c>
      <c r="E109" s="14" t="n">
        <f aca="false">ROUND('Références fournisseur'!$I$25*1+'Références fournisseur'!$I$26*1+35,2)</f>
        <v>46.65</v>
      </c>
      <c r="F109" s="14" t="n">
        <f aca="false">D109*E109</f>
        <v>93.3</v>
      </c>
    </row>
    <row r="110" customFormat="false" ht="15" hidden="false" customHeight="false" outlineLevel="0" collapsed="false">
      <c r="E110" s="15" t="s">
        <v>194</v>
      </c>
      <c r="F110" s="16" t="n">
        <f aca="false">SUM(F103:F109)</f>
        <v>1347.52</v>
      </c>
    </row>
    <row r="112" customFormat="false" ht="15" hidden="false" customHeight="false" outlineLevel="0" collapsed="false">
      <c r="A112" s="8" t="s">
        <v>195</v>
      </c>
      <c r="B112" s="9" t="s">
        <v>196</v>
      </c>
      <c r="C112" s="9"/>
      <c r="D112" s="9"/>
      <c r="E112" s="9"/>
      <c r="F112" s="9"/>
    </row>
    <row r="113" customFormat="false" ht="25.5" hidden="false" customHeight="true" outlineLevel="0" collapsed="false">
      <c r="A113" s="10" t="s">
        <v>197</v>
      </c>
      <c r="B113" s="11" t="s">
        <v>198</v>
      </c>
      <c r="C113" s="10" t="s">
        <v>37</v>
      </c>
      <c r="D113" s="12" t="n">
        <v>3</v>
      </c>
      <c r="E113" s="14" t="n">
        <f aca="false">ROUND('Références fournisseur'!$I$29*1+35,2)</f>
        <v>175.46</v>
      </c>
      <c r="F113" s="14" t="n">
        <f aca="false">D113*E113</f>
        <v>526.38</v>
      </c>
    </row>
    <row r="114" customFormat="false" ht="25.5" hidden="false" customHeight="true" outlineLevel="0" collapsed="false">
      <c r="A114" s="10" t="s">
        <v>199</v>
      </c>
      <c r="B114" s="11" t="s">
        <v>200</v>
      </c>
      <c r="C114" s="10" t="s">
        <v>37</v>
      </c>
      <c r="D114" s="12" t="n">
        <v>1</v>
      </c>
      <c r="E114" s="13" t="n">
        <v>270</v>
      </c>
      <c r="F114" s="14" t="n">
        <f aca="false">D114*E114</f>
        <v>270</v>
      </c>
    </row>
    <row r="115" customFormat="false" ht="15" hidden="false" customHeight="true" outlineLevel="0" collapsed="false">
      <c r="A115" s="10" t="s">
        <v>201</v>
      </c>
      <c r="B115" s="11" t="s">
        <v>202</v>
      </c>
      <c r="C115" s="10" t="s">
        <v>37</v>
      </c>
      <c r="D115" s="12" t="n">
        <v>1</v>
      </c>
      <c r="E115" s="14" t="n">
        <f aca="false">ROUND('Références fournisseur'!$I$31*1+35,2)</f>
        <v>146.17</v>
      </c>
      <c r="F115" s="14" t="n">
        <f aca="false">D115*E115</f>
        <v>146.17</v>
      </c>
    </row>
    <row r="116" customFormat="false" ht="15" hidden="false" customHeight="true" outlineLevel="0" collapsed="false">
      <c r="A116" s="10" t="s">
        <v>203</v>
      </c>
      <c r="B116" s="11" t="s">
        <v>204</v>
      </c>
      <c r="C116" s="10" t="s">
        <v>37</v>
      </c>
      <c r="D116" s="12" t="n">
        <v>3</v>
      </c>
      <c r="E116" s="13" t="n">
        <v>55</v>
      </c>
      <c r="F116" s="14" t="n">
        <f aca="false">D116*E116</f>
        <v>165</v>
      </c>
    </row>
    <row r="117" customFormat="false" ht="15" hidden="false" customHeight="true" outlineLevel="0" collapsed="false">
      <c r="A117" s="10" t="s">
        <v>205</v>
      </c>
      <c r="B117" s="11" t="s">
        <v>206</v>
      </c>
      <c r="C117" s="10" t="s">
        <v>37</v>
      </c>
      <c r="D117" s="12" t="n">
        <v>2</v>
      </c>
      <c r="E117" s="13" t="n">
        <v>350</v>
      </c>
      <c r="F117" s="14" t="n">
        <f aca="false">D117*E117</f>
        <v>700</v>
      </c>
    </row>
    <row r="118" customFormat="false" ht="15" hidden="false" customHeight="false" outlineLevel="0" collapsed="false">
      <c r="E118" s="15" t="s">
        <v>207</v>
      </c>
      <c r="F118" s="16" t="n">
        <f aca="false">SUM(F113:F117)</f>
        <v>1807.55</v>
      </c>
    </row>
    <row r="120" customFormat="false" ht="15" hidden="false" customHeight="false" outlineLevel="0" collapsed="false">
      <c r="A120" s="8" t="s">
        <v>208</v>
      </c>
      <c r="B120" s="9" t="s">
        <v>209</v>
      </c>
      <c r="C120" s="9"/>
      <c r="D120" s="9"/>
      <c r="E120" s="9"/>
      <c r="F120" s="9"/>
    </row>
    <row r="121" customFormat="false" ht="25.5" hidden="false" customHeight="true" outlineLevel="0" collapsed="false">
      <c r="A121" s="10" t="s">
        <v>210</v>
      </c>
      <c r="B121" s="11" t="s">
        <v>211</v>
      </c>
      <c r="C121" s="10" t="s">
        <v>24</v>
      </c>
      <c r="D121" s="12" t="n">
        <v>1</v>
      </c>
      <c r="E121" s="13" t="n">
        <v>480</v>
      </c>
      <c r="F121" s="14" t="n">
        <f aca="false">D121*E121</f>
        <v>480</v>
      </c>
    </row>
    <row r="122" customFormat="false" ht="15" hidden="false" customHeight="true" outlineLevel="0" collapsed="false">
      <c r="A122" s="10" t="s">
        <v>212</v>
      </c>
      <c r="B122" s="11" t="s">
        <v>213</v>
      </c>
      <c r="C122" s="10" t="s">
        <v>24</v>
      </c>
      <c r="D122" s="12" t="n">
        <v>1</v>
      </c>
      <c r="E122" s="13" t="n">
        <v>280</v>
      </c>
      <c r="F122" s="14" t="n">
        <f aca="false">D122*E122</f>
        <v>280</v>
      </c>
    </row>
    <row r="123" customFormat="false" ht="25.5" hidden="false" customHeight="true" outlineLevel="0" collapsed="false">
      <c r="A123" s="10" t="s">
        <v>214</v>
      </c>
      <c r="B123" s="11" t="s">
        <v>215</v>
      </c>
      <c r="C123" s="10" t="s">
        <v>24</v>
      </c>
      <c r="D123" s="12" t="n">
        <v>1</v>
      </c>
      <c r="E123" s="13" t="n">
        <v>360</v>
      </c>
      <c r="F123" s="14" t="n">
        <f aca="false">D123*E123</f>
        <v>360</v>
      </c>
    </row>
    <row r="124" customFormat="false" ht="15" hidden="false" customHeight="false" outlineLevel="0" collapsed="false">
      <c r="E124" s="15" t="s">
        <v>216</v>
      </c>
      <c r="F124" s="16" t="n">
        <f aca="false">SUM(F121:F123)</f>
        <v>1120</v>
      </c>
    </row>
    <row r="126" customFormat="false" ht="15" hidden="false" customHeight="false" outlineLevel="0" collapsed="false">
      <c r="E126" s="17" t="s">
        <v>217</v>
      </c>
      <c r="F126" s="18" t="n">
        <f aca="false">F13+F21+F41+F51+F62+F70+F77+F81+F85+F100+F110+F118+F124</f>
        <v>40268.16</v>
      </c>
    </row>
    <row r="127" customFormat="false" ht="15" hidden="false" customHeight="false" outlineLevel="0" collapsed="false">
      <c r="E127" s="19" t="s">
        <v>218</v>
      </c>
    </row>
    <row r="128" customFormat="false" ht="15" hidden="false" customHeight="false" outlineLevel="0" collapsed="false">
      <c r="E128" s="20" t="s">
        <v>219</v>
      </c>
      <c r="F128" s="21" t="n">
        <f aca="false">F126*0.3</f>
        <v>12080.448</v>
      </c>
    </row>
    <row r="131" customFormat="false" ht="15" hidden="false" customHeight="false" outlineLevel="0" collapsed="false">
      <c r="A131" s="22" t="s">
        <v>220</v>
      </c>
    </row>
    <row r="132" customFormat="false" ht="15" hidden="false" customHeight="true" outlineLevel="0" collapsed="false">
      <c r="A132" s="10" t="s">
        <v>221</v>
      </c>
      <c r="B132" s="11" t="s">
        <v>222</v>
      </c>
      <c r="C132" s="10" t="s">
        <v>37</v>
      </c>
      <c r="D132" s="12" t="n">
        <v>12</v>
      </c>
      <c r="E132" s="13" t="n">
        <v>65</v>
      </c>
      <c r="F132" s="14" t="n">
        <f aca="false">D132*E132</f>
        <v>780</v>
      </c>
    </row>
    <row r="133" customFormat="false" ht="25.5" hidden="false" customHeight="true" outlineLevel="0" collapsed="false">
      <c r="A133" s="10" t="s">
        <v>223</v>
      </c>
      <c r="B133" s="11" t="s">
        <v>224</v>
      </c>
      <c r="C133" s="10" t="s">
        <v>37</v>
      </c>
      <c r="D133" s="12" t="n">
        <v>8</v>
      </c>
      <c r="E133" s="13" t="n">
        <v>75</v>
      </c>
      <c r="F133" s="14" t="n">
        <f aca="false">D133*E133</f>
        <v>600</v>
      </c>
    </row>
    <row r="134" customFormat="false" ht="15" hidden="false" customHeight="true" outlineLevel="0" collapsed="false">
      <c r="A134" s="10" t="s">
        <v>225</v>
      </c>
      <c r="B134" s="11" t="s">
        <v>226</v>
      </c>
      <c r="C134" s="10" t="s">
        <v>32</v>
      </c>
      <c r="D134" s="12" t="n">
        <v>6</v>
      </c>
      <c r="E134" s="13" t="n">
        <v>65</v>
      </c>
      <c r="F134" s="14" t="n">
        <f aca="false">D134*E134</f>
        <v>390</v>
      </c>
    </row>
    <row r="135" customFormat="false" ht="15" hidden="false" customHeight="true" outlineLevel="0" collapsed="false">
      <c r="A135" s="10" t="s">
        <v>227</v>
      </c>
      <c r="B135" s="11" t="s">
        <v>228</v>
      </c>
      <c r="C135" s="10" t="s">
        <v>37</v>
      </c>
      <c r="D135" s="12" t="n">
        <v>1</v>
      </c>
      <c r="E135" s="13" t="n">
        <v>120</v>
      </c>
      <c r="F135" s="14" t="n">
        <f aca="false">D135*E135</f>
        <v>120</v>
      </c>
    </row>
    <row r="136" customFormat="false" ht="25.5" hidden="false" customHeight="true" outlineLevel="0" collapsed="false">
      <c r="A136" s="10" t="s">
        <v>229</v>
      </c>
      <c r="B136" s="11" t="s">
        <v>230</v>
      </c>
      <c r="C136" s="10" t="s">
        <v>37</v>
      </c>
      <c r="D136" s="12" t="n">
        <v>21</v>
      </c>
      <c r="E136" s="14" t="n">
        <f aca="false">ROUND('Références fournisseur'!$I$19*1+'Références fournisseur'!$I$20*-1+'Références fournisseur'!$I$21*-1+'Références fournisseur'!$I$22*-1+0,2)</f>
        <v>62.4</v>
      </c>
      <c r="F136" s="14" t="n">
        <f aca="false">D136*E136</f>
        <v>1310.4</v>
      </c>
    </row>
    <row r="137" customFormat="false" ht="15" hidden="false" customHeight="true" outlineLevel="0" collapsed="false">
      <c r="A137" s="10" t="s">
        <v>231</v>
      </c>
      <c r="B137" s="11" t="s">
        <v>232</v>
      </c>
      <c r="C137" s="10" t="s">
        <v>37</v>
      </c>
      <c r="D137" s="12" t="n">
        <v>1</v>
      </c>
      <c r="E137" s="13" t="n">
        <v>420</v>
      </c>
      <c r="F137" s="14" t="n">
        <f aca="false">D137*E137</f>
        <v>420</v>
      </c>
    </row>
    <row r="138" customFormat="false" ht="15" hidden="false" customHeight="false" outlineLevel="0" collapsed="false">
      <c r="E138" s="15" t="s">
        <v>233</v>
      </c>
      <c r="F138" s="16" t="n">
        <f aca="false">SUM(F132:F137)</f>
        <v>3620.4</v>
      </c>
    </row>
    <row r="141" customFormat="false" ht="15" hidden="false" customHeight="false" outlineLevel="0" collapsed="false">
      <c r="A141" s="2" t="s">
        <v>234</v>
      </c>
    </row>
    <row r="142" customFormat="false" ht="90.75" hidden="false" customHeight="true" outlineLevel="0" collapsed="false">
      <c r="B142" s="23" t="s">
        <v>235</v>
      </c>
    </row>
    <row r="143" customFormat="false" ht="25.5" hidden="false" customHeight="true" outlineLevel="0" collapsed="false">
      <c r="B143" s="23" t="s">
        <v>236</v>
      </c>
    </row>
    <row r="144" customFormat="false" ht="39" hidden="false" customHeight="true" outlineLevel="0" collapsed="false">
      <c r="B144" s="23" t="s">
        <v>237</v>
      </c>
    </row>
    <row r="145" customFormat="false" ht="25.5" hidden="false" customHeight="true" outlineLevel="0" collapsed="false">
      <c r="B145" s="23" t="s">
        <v>238</v>
      </c>
    </row>
    <row r="146" customFormat="false" ht="12.75" hidden="false" customHeight="true" outlineLevel="0" collapsed="false">
      <c r="B146" s="23" t="s">
        <v>239</v>
      </c>
    </row>
    <row r="148" customFormat="false" ht="15" hidden="false" customHeight="false" outlineLevel="0" collapsed="false">
      <c r="B148" s="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24" t="s">
        <v>241</v>
      </c>
    </row>
    <row r="2" customFormat="false" ht="27.75" hidden="false" customHeight="true" outlineLevel="0" collapsed="false">
      <c r="A2" s="25" t="s">
        <v>242</v>
      </c>
      <c r="B2" s="25"/>
      <c r="C2" s="25"/>
      <c r="D2" s="25"/>
      <c r="E2" s="25"/>
      <c r="F2" s="25"/>
      <c r="G2" s="25"/>
      <c r="H2" s="25"/>
      <c r="I2" s="25"/>
    </row>
    <row r="3" customFormat="false" ht="15" hidden="false" customHeight="false" outlineLevel="0" collapsed="false">
      <c r="E3" s="26" t="s">
        <v>243</v>
      </c>
      <c r="F3" s="27" t="n">
        <v>1.4</v>
      </c>
    </row>
    <row r="4" customFormat="false" ht="30" hidden="false" customHeight="true" outlineLevel="0" collapsed="false">
      <c r="A4" s="28" t="s">
        <v>244</v>
      </c>
      <c r="B4" s="28" t="s">
        <v>245</v>
      </c>
      <c r="C4" s="28" t="s">
        <v>246</v>
      </c>
      <c r="D4" s="28" t="s">
        <v>17</v>
      </c>
      <c r="E4" s="28" t="s">
        <v>247</v>
      </c>
      <c r="F4" s="28" t="s">
        <v>248</v>
      </c>
      <c r="G4" s="28" t="s">
        <v>249</v>
      </c>
      <c r="H4" s="28" t="s">
        <v>250</v>
      </c>
    </row>
    <row r="5" customFormat="false" ht="30" hidden="false" customHeight="true" outlineLevel="0" collapsed="false">
      <c r="A5" s="28" t="s">
        <v>244</v>
      </c>
      <c r="B5" s="28" t="s">
        <v>245</v>
      </c>
      <c r="C5" s="28" t="s">
        <v>246</v>
      </c>
      <c r="D5" s="28" t="s">
        <v>17</v>
      </c>
      <c r="E5" s="28" t="s">
        <v>247</v>
      </c>
      <c r="F5" s="28" t="s">
        <v>248</v>
      </c>
      <c r="G5" s="28" t="s">
        <v>249</v>
      </c>
      <c r="H5" s="28" t="s">
        <v>250</v>
      </c>
      <c r="I5" s="28" t="s">
        <v>251</v>
      </c>
    </row>
    <row r="6" customFormat="false" ht="15" hidden="false" customHeight="false" outlineLevel="0" collapsed="false">
      <c r="A6" s="9" t="s">
        <v>252</v>
      </c>
      <c r="B6" s="9"/>
      <c r="C6" s="9"/>
      <c r="D6" s="9"/>
      <c r="E6" s="9"/>
      <c r="F6" s="9"/>
      <c r="G6" s="9"/>
      <c r="H6" s="9"/>
      <c r="I6" s="9"/>
    </row>
    <row r="7" customFormat="false" ht="25.5" hidden="false" customHeight="true" outlineLevel="0" collapsed="false">
      <c r="A7" s="11" t="s">
        <v>253</v>
      </c>
      <c r="B7" s="29" t="s">
        <v>254</v>
      </c>
      <c r="C7" s="11" t="s">
        <v>255</v>
      </c>
      <c r="D7" s="12" t="n">
        <v>1</v>
      </c>
      <c r="E7" s="30" t="n">
        <v>297.2</v>
      </c>
      <c r="F7" s="31" t="n">
        <v>196.54</v>
      </c>
      <c r="G7" s="30" t="n">
        <f aca="false">D7*F7</f>
        <v>196.54</v>
      </c>
      <c r="H7" s="32" t="s">
        <v>256</v>
      </c>
      <c r="I7" s="30" t="n">
        <f aca="false">F7*$F$3</f>
        <v>275.156</v>
      </c>
    </row>
    <row r="8" customFormat="false" ht="25.5" hidden="false" customHeight="true" outlineLevel="0" collapsed="false">
      <c r="A8" s="11" t="s">
        <v>257</v>
      </c>
      <c r="B8" s="29" t="s">
        <v>258</v>
      </c>
      <c r="C8" s="11" t="s">
        <v>259</v>
      </c>
      <c r="D8" s="12" t="n">
        <v>1</v>
      </c>
      <c r="E8" s="30"/>
      <c r="F8" s="31" t="n">
        <v>92.25</v>
      </c>
      <c r="G8" s="30" t="n">
        <f aca="false">D8*F8</f>
        <v>92.25</v>
      </c>
      <c r="H8" s="33" t="s">
        <v>260</v>
      </c>
      <c r="I8" s="30" t="n">
        <f aca="false">F8*$F$3</f>
        <v>129.15</v>
      </c>
    </row>
    <row r="9" customFormat="false" ht="39" hidden="false" customHeight="true" outlineLevel="0" collapsed="false">
      <c r="A9" s="11" t="s">
        <v>261</v>
      </c>
      <c r="B9" s="29" t="s">
        <v>262</v>
      </c>
      <c r="C9" s="11" t="s">
        <v>263</v>
      </c>
      <c r="D9" s="12" t="n">
        <v>0</v>
      </c>
      <c r="E9" s="30" t="n">
        <v>144.1</v>
      </c>
      <c r="F9" s="31"/>
      <c r="G9" s="30" t="n">
        <f aca="false">D9*F9</f>
        <v>0</v>
      </c>
      <c r="H9" s="32" t="s">
        <v>256</v>
      </c>
      <c r="I9" s="30" t="n">
        <f aca="false">F9*$F$3</f>
        <v>0</v>
      </c>
    </row>
    <row r="10" customFormat="false" ht="15" hidden="false" customHeight="false" outlineLevel="0" collapsed="false">
      <c r="A10" s="9" t="s">
        <v>264</v>
      </c>
      <c r="B10" s="9"/>
      <c r="C10" s="9"/>
      <c r="D10" s="9"/>
      <c r="E10" s="9"/>
      <c r="F10" s="9"/>
      <c r="G10" s="9"/>
      <c r="H10" s="9"/>
      <c r="I10" s="9"/>
    </row>
    <row r="11" customFormat="false" ht="39" hidden="false" customHeight="true" outlineLevel="0" collapsed="false">
      <c r="A11" s="11" t="s">
        <v>265</v>
      </c>
      <c r="B11" s="29" t="s">
        <v>266</v>
      </c>
      <c r="C11" s="11" t="s">
        <v>267</v>
      </c>
      <c r="D11" s="12" t="n">
        <v>22</v>
      </c>
      <c r="E11" s="30"/>
      <c r="F11" s="31" t="n">
        <v>55.77</v>
      </c>
      <c r="G11" s="30" t="n">
        <f aca="false">D11*F11</f>
        <v>1226.94</v>
      </c>
      <c r="H11" s="32" t="s">
        <v>256</v>
      </c>
      <c r="I11" s="30" t="n">
        <f aca="false">F11*$F$3</f>
        <v>78.078</v>
      </c>
    </row>
    <row r="12" customFormat="false" ht="39" hidden="false" customHeight="true" outlineLevel="0" collapsed="false">
      <c r="A12" s="11" t="s">
        <v>268</v>
      </c>
      <c r="B12" s="29" t="s">
        <v>269</v>
      </c>
      <c r="C12" s="11" t="s">
        <v>270</v>
      </c>
      <c r="D12" s="12" t="n">
        <v>5</v>
      </c>
      <c r="E12" s="30"/>
      <c r="F12" s="31" t="n">
        <v>61.14</v>
      </c>
      <c r="G12" s="30" t="n">
        <f aca="false">D12*F12</f>
        <v>305.7</v>
      </c>
      <c r="H12" s="33" t="s">
        <v>260</v>
      </c>
      <c r="I12" s="30" t="n">
        <f aca="false">F12*$F$3</f>
        <v>85.596</v>
      </c>
    </row>
    <row r="13" customFormat="false" ht="25.5" hidden="false" customHeight="true" outlineLevel="0" collapsed="false">
      <c r="A13" s="11" t="s">
        <v>271</v>
      </c>
      <c r="B13" s="29" t="s">
        <v>272</v>
      </c>
      <c r="C13" s="11" t="s">
        <v>273</v>
      </c>
      <c r="D13" s="12" t="n">
        <v>1</v>
      </c>
      <c r="E13" s="30"/>
      <c r="F13" s="31" t="n">
        <v>27.67</v>
      </c>
      <c r="G13" s="30" t="n">
        <f aca="false">D13*F13</f>
        <v>27.67</v>
      </c>
      <c r="H13" s="33" t="s">
        <v>260</v>
      </c>
      <c r="I13" s="30" t="n">
        <f aca="false">F13*$F$3</f>
        <v>38.738</v>
      </c>
    </row>
    <row r="14" customFormat="false" ht="39" hidden="false" customHeight="true" outlineLevel="0" collapsed="false">
      <c r="A14" s="11" t="s">
        <v>274</v>
      </c>
      <c r="B14" s="29" t="s">
        <v>275</v>
      </c>
      <c r="C14" s="11" t="s">
        <v>276</v>
      </c>
      <c r="D14" s="12" t="n">
        <v>1</v>
      </c>
      <c r="E14" s="30" t="n">
        <v>91.24</v>
      </c>
      <c r="F14" s="31" t="n">
        <v>34</v>
      </c>
      <c r="G14" s="30" t="n">
        <f aca="false">D14*F14</f>
        <v>34</v>
      </c>
      <c r="H14" s="32" t="s">
        <v>256</v>
      </c>
      <c r="I14" s="30" t="n">
        <f aca="false">F14*$F$3</f>
        <v>47.6</v>
      </c>
    </row>
    <row r="15" customFormat="false" ht="15" hidden="false" customHeight="false" outlineLevel="0" collapsed="false">
      <c r="A15" s="9" t="s">
        <v>277</v>
      </c>
      <c r="B15" s="9"/>
      <c r="C15" s="9"/>
      <c r="D15" s="9"/>
      <c r="E15" s="9"/>
      <c r="F15" s="9"/>
      <c r="G15" s="9"/>
      <c r="H15" s="9"/>
      <c r="I15" s="9"/>
    </row>
    <row r="16" customFormat="false" ht="39" hidden="false" customHeight="true" outlineLevel="0" collapsed="false">
      <c r="A16" s="11" t="s">
        <v>278</v>
      </c>
      <c r="B16" s="29" t="s">
        <v>279</v>
      </c>
      <c r="C16" s="11" t="s">
        <v>280</v>
      </c>
      <c r="D16" s="12" t="n">
        <v>8</v>
      </c>
      <c r="E16" s="30"/>
      <c r="F16" s="31" t="n">
        <v>58.6</v>
      </c>
      <c r="G16" s="30" t="n">
        <f aca="false">D16*F16</f>
        <v>468.8</v>
      </c>
      <c r="H16" s="32" t="s">
        <v>256</v>
      </c>
      <c r="I16" s="30" t="n">
        <f aca="false">F16*$F$3</f>
        <v>82.04</v>
      </c>
    </row>
    <row r="17" customFormat="false" ht="25.5" hidden="false" customHeight="true" outlineLevel="0" collapsed="false">
      <c r="A17" s="11" t="s">
        <v>281</v>
      </c>
      <c r="B17" s="29" t="s">
        <v>282</v>
      </c>
      <c r="C17" s="11" t="s">
        <v>283</v>
      </c>
      <c r="D17" s="12" t="n">
        <v>1</v>
      </c>
      <c r="E17" s="30"/>
      <c r="F17" s="31" t="n">
        <v>58.63</v>
      </c>
      <c r="G17" s="30" t="n">
        <f aca="false">D17*F17</f>
        <v>58.63</v>
      </c>
      <c r="H17" s="32" t="s">
        <v>256</v>
      </c>
      <c r="I17" s="30" t="n">
        <f aca="false">F17*$F$3</f>
        <v>82.082</v>
      </c>
    </row>
    <row r="18" customFormat="false" ht="15" hidden="false" customHeight="false" outlineLevel="0" collapsed="false">
      <c r="A18" s="9" t="s">
        <v>284</v>
      </c>
      <c r="B18" s="9"/>
      <c r="C18" s="9"/>
      <c r="D18" s="9"/>
      <c r="E18" s="9"/>
      <c r="F18" s="9"/>
      <c r="G18" s="9"/>
      <c r="H18" s="9"/>
      <c r="I18" s="9"/>
    </row>
    <row r="19" customFormat="false" ht="39" hidden="false" customHeight="true" outlineLevel="0" collapsed="false">
      <c r="A19" s="11" t="s">
        <v>285</v>
      </c>
      <c r="B19" s="29" t="s">
        <v>286</v>
      </c>
      <c r="C19" s="11" t="s">
        <v>287</v>
      </c>
      <c r="D19" s="12" t="n">
        <v>5</v>
      </c>
      <c r="E19" s="30" t="n">
        <v>76.8</v>
      </c>
      <c r="F19" s="31" t="n">
        <v>49.92</v>
      </c>
      <c r="G19" s="30" t="n">
        <f aca="false">D19*F19</f>
        <v>249.6</v>
      </c>
      <c r="H19" s="32" t="s">
        <v>256</v>
      </c>
      <c r="I19" s="30" t="n">
        <f aca="false">F19*$F$3</f>
        <v>69.888</v>
      </c>
    </row>
    <row r="20" customFormat="false" ht="25.5" hidden="false" customHeight="true" outlineLevel="0" collapsed="false">
      <c r="A20" s="11" t="s">
        <v>288</v>
      </c>
      <c r="B20" s="29" t="s">
        <v>289</v>
      </c>
      <c r="C20" s="11" t="s">
        <v>290</v>
      </c>
      <c r="D20" s="12" t="n">
        <v>21</v>
      </c>
      <c r="E20" s="30"/>
      <c r="F20" s="31" t="n">
        <v>3</v>
      </c>
      <c r="G20" s="30" t="n">
        <f aca="false">D20*F20</f>
        <v>63</v>
      </c>
      <c r="H20" s="33" t="s">
        <v>260</v>
      </c>
      <c r="I20" s="30" t="n">
        <f aca="false">F20*$F$3</f>
        <v>4.2</v>
      </c>
    </row>
    <row r="21" customFormat="false" ht="25.5" hidden="false" customHeight="true" outlineLevel="0" collapsed="false">
      <c r="A21" s="11" t="s">
        <v>291</v>
      </c>
      <c r="B21" s="29" t="s">
        <v>292</v>
      </c>
      <c r="C21" s="11" t="s">
        <v>290</v>
      </c>
      <c r="D21" s="12" t="n">
        <v>21</v>
      </c>
      <c r="E21" s="30"/>
      <c r="F21" s="31" t="n">
        <v>0.84</v>
      </c>
      <c r="G21" s="30" t="n">
        <f aca="false">D21*F21</f>
        <v>17.64</v>
      </c>
      <c r="H21" s="32" t="s">
        <v>256</v>
      </c>
      <c r="I21" s="30" t="n">
        <f aca="false">F21*$F$3</f>
        <v>1.176</v>
      </c>
    </row>
    <row r="22" customFormat="false" ht="25.5" hidden="false" customHeight="true" outlineLevel="0" collapsed="false">
      <c r="A22" s="11" t="s">
        <v>293</v>
      </c>
      <c r="B22" s="29" t="s">
        <v>294</v>
      </c>
      <c r="C22" s="11" t="s">
        <v>295</v>
      </c>
      <c r="D22" s="12" t="n">
        <v>26</v>
      </c>
      <c r="E22" s="30"/>
      <c r="F22" s="31" t="n">
        <v>1.51</v>
      </c>
      <c r="G22" s="30" t="n">
        <f aca="false">D22*F22</f>
        <v>39.26</v>
      </c>
      <c r="H22" s="33" t="s">
        <v>260</v>
      </c>
      <c r="I22" s="30" t="n">
        <f aca="false">F22*$F$3</f>
        <v>2.114</v>
      </c>
    </row>
    <row r="23" customFormat="false" ht="25.5" hidden="false" customHeight="true" outlineLevel="0" collapsed="false">
      <c r="A23" s="11" t="s">
        <v>296</v>
      </c>
      <c r="B23" s="29" t="s">
        <v>297</v>
      </c>
      <c r="C23" s="11" t="s">
        <v>287</v>
      </c>
      <c r="D23" s="12" t="n">
        <v>5</v>
      </c>
      <c r="E23" s="30" t="n">
        <v>24.51</v>
      </c>
      <c r="F23" s="31" t="n">
        <v>15.47</v>
      </c>
      <c r="G23" s="30" t="n">
        <f aca="false">D23*F23</f>
        <v>77.35</v>
      </c>
      <c r="H23" s="32" t="s">
        <v>256</v>
      </c>
      <c r="I23" s="30" t="n">
        <f aca="false">F23*$F$3</f>
        <v>21.658</v>
      </c>
    </row>
    <row r="24" customFormat="false" ht="25.5" hidden="false" customHeight="true" outlineLevel="0" collapsed="false">
      <c r="A24" s="11" t="s">
        <v>298</v>
      </c>
      <c r="B24" s="29" t="s">
        <v>299</v>
      </c>
      <c r="C24" s="11" t="s">
        <v>287</v>
      </c>
      <c r="D24" s="12" t="n">
        <v>5</v>
      </c>
      <c r="E24" s="30" t="n">
        <v>4.76</v>
      </c>
      <c r="F24" s="31" t="n">
        <v>2.34</v>
      </c>
      <c r="G24" s="30" t="n">
        <f aca="false">D24*F24</f>
        <v>11.7</v>
      </c>
      <c r="H24" s="32" t="s">
        <v>256</v>
      </c>
      <c r="I24" s="30" t="n">
        <f aca="false">F24*$F$3</f>
        <v>3.276</v>
      </c>
    </row>
    <row r="25" customFormat="false" ht="25.5" hidden="false" customHeight="true" outlineLevel="0" collapsed="false">
      <c r="A25" s="11" t="s">
        <v>300</v>
      </c>
      <c r="B25" s="29" t="s">
        <v>301</v>
      </c>
      <c r="C25" s="11" t="s">
        <v>302</v>
      </c>
      <c r="D25" s="12" t="n">
        <v>2</v>
      </c>
      <c r="E25" s="30"/>
      <c r="F25" s="31" t="n">
        <v>6.32</v>
      </c>
      <c r="G25" s="30" t="n">
        <f aca="false">D25*F25</f>
        <v>12.64</v>
      </c>
      <c r="H25" s="33" t="s">
        <v>260</v>
      </c>
      <c r="I25" s="30" t="n">
        <f aca="false">F25*$F$3</f>
        <v>8.848</v>
      </c>
    </row>
    <row r="26" customFormat="false" ht="25.5" hidden="false" customHeight="true" outlineLevel="0" collapsed="false">
      <c r="A26" s="11" t="s">
        <v>303</v>
      </c>
      <c r="B26" s="29" t="s">
        <v>304</v>
      </c>
      <c r="C26" s="11" t="s">
        <v>302</v>
      </c>
      <c r="D26" s="12" t="n">
        <v>2</v>
      </c>
      <c r="E26" s="30"/>
      <c r="F26" s="31" t="n">
        <v>2</v>
      </c>
      <c r="G26" s="30" t="n">
        <f aca="false">D26*F26</f>
        <v>4</v>
      </c>
      <c r="H26" s="33" t="s">
        <v>260</v>
      </c>
      <c r="I26" s="30" t="n">
        <f aca="false">F26*$F$3</f>
        <v>2.8</v>
      </c>
    </row>
    <row r="27" customFormat="false" ht="25.5" hidden="false" customHeight="true" outlineLevel="0" collapsed="false">
      <c r="A27" s="11" t="s">
        <v>305</v>
      </c>
      <c r="B27" s="29" t="s">
        <v>306</v>
      </c>
      <c r="C27" s="11" t="s">
        <v>307</v>
      </c>
      <c r="D27" s="12" t="n">
        <v>67</v>
      </c>
      <c r="E27" s="30"/>
      <c r="F27" s="31" t="n">
        <v>1.28</v>
      </c>
      <c r="G27" s="30" t="n">
        <f aca="false">D27*F27</f>
        <v>85.76</v>
      </c>
      <c r="H27" s="33" t="s">
        <v>260</v>
      </c>
      <c r="I27" s="30" t="n">
        <f aca="false">F27*$F$3</f>
        <v>1.792</v>
      </c>
    </row>
    <row r="28" customFormat="false" ht="15" hidden="false" customHeight="false" outlineLevel="0" collapsed="false">
      <c r="A28" s="9" t="s">
        <v>308</v>
      </c>
      <c r="B28" s="9"/>
      <c r="C28" s="9"/>
      <c r="D28" s="9"/>
      <c r="E28" s="9"/>
      <c r="F28" s="9"/>
      <c r="G28" s="9"/>
      <c r="H28" s="9"/>
      <c r="I28" s="9"/>
    </row>
    <row r="29" customFormat="false" ht="25.5" hidden="false" customHeight="true" outlineLevel="0" collapsed="false">
      <c r="A29" s="11" t="s">
        <v>309</v>
      </c>
      <c r="B29" s="29" t="s">
        <v>310</v>
      </c>
      <c r="C29" s="11" t="s">
        <v>311</v>
      </c>
      <c r="D29" s="12" t="n">
        <v>3</v>
      </c>
      <c r="E29" s="30" t="n">
        <v>161.5</v>
      </c>
      <c r="F29" s="31" t="n">
        <v>100.33</v>
      </c>
      <c r="G29" s="30" t="n">
        <f aca="false">D29*F29</f>
        <v>300.99</v>
      </c>
      <c r="H29" s="32" t="s">
        <v>256</v>
      </c>
      <c r="I29" s="30" t="n">
        <f aca="false">F29*$F$3</f>
        <v>140.462</v>
      </c>
    </row>
    <row r="30" customFormat="false" ht="25.5" hidden="false" customHeight="true" outlineLevel="0" collapsed="false">
      <c r="A30" s="11" t="s">
        <v>312</v>
      </c>
      <c r="B30" s="29" t="s">
        <v>313</v>
      </c>
      <c r="C30" s="11" t="s">
        <v>314</v>
      </c>
      <c r="D30" s="12" t="n">
        <v>1</v>
      </c>
      <c r="E30" s="30"/>
      <c r="F30" s="31"/>
      <c r="G30" s="30" t="n">
        <f aca="false">D30*F30</f>
        <v>0</v>
      </c>
      <c r="H30" s="33" t="s">
        <v>260</v>
      </c>
      <c r="I30" s="30" t="n">
        <f aca="false">F30*$F$3</f>
        <v>0</v>
      </c>
    </row>
    <row r="31" customFormat="false" ht="25.5" hidden="false" customHeight="true" outlineLevel="0" collapsed="false">
      <c r="A31" s="11" t="s">
        <v>315</v>
      </c>
      <c r="B31" s="29" t="s">
        <v>316</v>
      </c>
      <c r="C31" s="11" t="s">
        <v>317</v>
      </c>
      <c r="D31" s="12" t="n">
        <v>1</v>
      </c>
      <c r="E31" s="30"/>
      <c r="F31" s="31" t="n">
        <v>79.41</v>
      </c>
      <c r="G31" s="30" t="n">
        <f aca="false">D31*F31</f>
        <v>79.41</v>
      </c>
      <c r="H31" s="33" t="s">
        <v>260</v>
      </c>
      <c r="I31" s="30" t="n">
        <f aca="false">F31*$F$3</f>
        <v>111.174</v>
      </c>
    </row>
    <row r="32" customFormat="false" ht="25.5" hidden="false" customHeight="true" outlineLevel="0" collapsed="false">
      <c r="A32" s="11" t="s">
        <v>318</v>
      </c>
      <c r="B32" s="29" t="s">
        <v>319</v>
      </c>
      <c r="C32" s="11" t="s">
        <v>320</v>
      </c>
      <c r="D32" s="12" t="n">
        <v>2</v>
      </c>
      <c r="E32" s="30"/>
      <c r="F32" s="31"/>
      <c r="G32" s="30" t="n">
        <f aca="false">D32*F32</f>
        <v>0</v>
      </c>
      <c r="H32" s="33" t="s">
        <v>260</v>
      </c>
      <c r="I32" s="30" t="n">
        <f aca="false">F32*$F$3</f>
        <v>0</v>
      </c>
    </row>
    <row r="34" customFormat="false" ht="15" hidden="false" customHeight="false" outlineLevel="0" collapsed="false">
      <c r="F34" s="2" t="s">
        <v>249</v>
      </c>
      <c r="G34" s="16" t="n">
        <f aca="false">SUM(G6:G32)</f>
        <v>3351.88</v>
      </c>
    </row>
    <row r="36" customFormat="false" ht="27.75" hidden="false" customHeight="true" outlineLevel="0" collapsed="false">
      <c r="A36" s="25" t="s">
        <v>321</v>
      </c>
      <c r="B36" s="25"/>
      <c r="C36" s="25"/>
      <c r="D36" s="25"/>
      <c r="E36" s="25"/>
      <c r="F36" s="25"/>
      <c r="G36" s="25"/>
      <c r="H36" s="25"/>
    </row>
  </sheetData>
  <mergeCells count="2">
    <mergeCell ref="A2:I2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34" t="s">
        <v>322</v>
      </c>
    </row>
    <row r="2" customFormat="false" ht="15" hidden="false" customHeight="false" outlineLevel="0" collapsed="false">
      <c r="A2" s="35" t="s">
        <v>323</v>
      </c>
    </row>
    <row r="4" customFormat="false" ht="15" hidden="false" customHeight="false" outlineLevel="0" collapsed="false">
      <c r="A4" s="36" t="s">
        <v>14</v>
      </c>
      <c r="B4" s="36" t="s">
        <v>324</v>
      </c>
      <c r="C4" s="36" t="s">
        <v>84</v>
      </c>
      <c r="D4" s="36" t="s">
        <v>325</v>
      </c>
      <c r="E4" s="36" t="s">
        <v>326</v>
      </c>
    </row>
    <row r="5" customFormat="false" ht="15" hidden="false" customHeight="false" outlineLevel="0" collapsed="false">
      <c r="A5" s="37" t="n">
        <v>1</v>
      </c>
      <c r="B5" s="37" t="s">
        <v>327</v>
      </c>
      <c r="C5" s="37" t="s">
        <v>328</v>
      </c>
      <c r="D5" s="37" t="s">
        <v>329</v>
      </c>
      <c r="E5" s="37" t="s">
        <v>330</v>
      </c>
    </row>
    <row r="6" customFormat="false" ht="15" hidden="false" customHeight="false" outlineLevel="0" collapsed="false">
      <c r="A6" s="37" t="n">
        <v>2</v>
      </c>
      <c r="B6" s="37" t="s">
        <v>327</v>
      </c>
      <c r="C6" s="37" t="s">
        <v>331</v>
      </c>
      <c r="D6" s="37" t="s">
        <v>329</v>
      </c>
      <c r="E6" s="37" t="s">
        <v>330</v>
      </c>
    </row>
    <row r="7" customFormat="false" ht="15" hidden="false" customHeight="false" outlineLevel="0" collapsed="false">
      <c r="A7" s="37" t="n">
        <v>3</v>
      </c>
      <c r="B7" s="37" t="s">
        <v>327</v>
      </c>
      <c r="C7" s="37" t="s">
        <v>332</v>
      </c>
      <c r="D7" s="37" t="s">
        <v>333</v>
      </c>
      <c r="E7" s="37" t="s">
        <v>334</v>
      </c>
    </row>
    <row r="8" customFormat="false" ht="15" hidden="false" customHeight="false" outlineLevel="0" collapsed="false">
      <c r="A8" s="37" t="n">
        <v>4</v>
      </c>
      <c r="B8" s="37" t="s">
        <v>327</v>
      </c>
      <c r="C8" s="37" t="s">
        <v>335</v>
      </c>
      <c r="D8" s="37" t="s">
        <v>336</v>
      </c>
      <c r="E8" s="37" t="s">
        <v>334</v>
      </c>
    </row>
    <row r="9" customFormat="false" ht="15" hidden="false" customHeight="false" outlineLevel="0" collapsed="false">
      <c r="A9" s="37" t="n">
        <v>5</v>
      </c>
      <c r="B9" s="37" t="s">
        <v>327</v>
      </c>
      <c r="C9" s="37" t="s">
        <v>337</v>
      </c>
      <c r="D9" s="37" t="s">
        <v>336</v>
      </c>
      <c r="E9" s="37" t="s">
        <v>330</v>
      </c>
    </row>
    <row r="10" customFormat="false" ht="15" hidden="false" customHeight="false" outlineLevel="0" collapsed="false">
      <c r="A10" s="37" t="n">
        <v>6</v>
      </c>
      <c r="B10" s="37" t="s">
        <v>327</v>
      </c>
      <c r="C10" s="37" t="s">
        <v>338</v>
      </c>
      <c r="D10" s="37" t="s">
        <v>336</v>
      </c>
      <c r="E10" s="37" t="s">
        <v>330</v>
      </c>
    </row>
    <row r="11" customFormat="false" ht="15" hidden="false" customHeight="false" outlineLevel="0" collapsed="false">
      <c r="A11" s="37" t="n">
        <v>7</v>
      </c>
      <c r="B11" s="37" t="s">
        <v>327</v>
      </c>
      <c r="C11" s="37" t="s">
        <v>339</v>
      </c>
      <c r="D11" s="37" t="s">
        <v>336</v>
      </c>
      <c r="E11" s="37" t="s">
        <v>330</v>
      </c>
    </row>
    <row r="12" customFormat="false" ht="15" hidden="false" customHeight="false" outlineLevel="0" collapsed="false">
      <c r="A12" s="37" t="n">
        <v>8</v>
      </c>
      <c r="B12" s="37" t="s">
        <v>327</v>
      </c>
      <c r="C12" s="37" t="s">
        <v>340</v>
      </c>
      <c r="D12" s="37" t="s">
        <v>341</v>
      </c>
      <c r="E12" s="37" t="s">
        <v>330</v>
      </c>
    </row>
    <row r="13" customFormat="false" ht="15" hidden="false" customHeight="false" outlineLevel="0" collapsed="false">
      <c r="A13" s="37" t="n">
        <v>9</v>
      </c>
      <c r="B13" s="37" t="s">
        <v>342</v>
      </c>
      <c r="C13" s="37" t="s">
        <v>343</v>
      </c>
      <c r="D13" s="37" t="s">
        <v>329</v>
      </c>
      <c r="E13" s="37" t="s">
        <v>330</v>
      </c>
    </row>
    <row r="14" customFormat="false" ht="15" hidden="false" customHeight="false" outlineLevel="0" collapsed="false">
      <c r="A14" s="37" t="n">
        <v>10</v>
      </c>
      <c r="B14" s="37" t="s">
        <v>342</v>
      </c>
      <c r="C14" s="37" t="s">
        <v>344</v>
      </c>
      <c r="D14" s="37" t="s">
        <v>329</v>
      </c>
      <c r="E14" s="37" t="s">
        <v>330</v>
      </c>
    </row>
    <row r="15" customFormat="false" ht="15" hidden="false" customHeight="false" outlineLevel="0" collapsed="false">
      <c r="A15" s="37" t="n">
        <v>11</v>
      </c>
      <c r="B15" s="37" t="s">
        <v>342</v>
      </c>
      <c r="C15" s="37" t="s">
        <v>345</v>
      </c>
      <c r="D15" s="37" t="s">
        <v>336</v>
      </c>
      <c r="E15" s="37" t="s">
        <v>334</v>
      </c>
    </row>
    <row r="16" customFormat="false" ht="15" hidden="false" customHeight="false" outlineLevel="0" collapsed="false">
      <c r="A16" s="37" t="n">
        <v>12</v>
      </c>
      <c r="B16" s="37" t="s">
        <v>342</v>
      </c>
      <c r="C16" s="37" t="s">
        <v>346</v>
      </c>
      <c r="D16" s="37" t="s">
        <v>336</v>
      </c>
      <c r="E16" s="37" t="s">
        <v>334</v>
      </c>
    </row>
    <row r="17" customFormat="false" ht="15" hidden="false" customHeight="false" outlineLevel="0" collapsed="false">
      <c r="A17" s="37" t="n">
        <v>13</v>
      </c>
      <c r="B17" s="37" t="s">
        <v>342</v>
      </c>
      <c r="C17" s="37" t="s">
        <v>347</v>
      </c>
      <c r="D17" s="37" t="s">
        <v>336</v>
      </c>
      <c r="E17" s="37" t="s">
        <v>334</v>
      </c>
    </row>
    <row r="18" customFormat="false" ht="15" hidden="false" customHeight="false" outlineLevel="0" collapsed="false">
      <c r="A18" s="37" t="n">
        <v>14</v>
      </c>
      <c r="B18" s="37" t="s">
        <v>342</v>
      </c>
      <c r="C18" s="37" t="s">
        <v>348</v>
      </c>
      <c r="D18" s="37" t="s">
        <v>336</v>
      </c>
      <c r="E18" s="37" t="s">
        <v>330</v>
      </c>
    </row>
    <row r="19" customFormat="false" ht="15" hidden="false" customHeight="false" outlineLevel="0" collapsed="false">
      <c r="A19" s="37" t="n">
        <v>15</v>
      </c>
      <c r="B19" s="37" t="s">
        <v>342</v>
      </c>
      <c r="C19" s="37" t="s">
        <v>349</v>
      </c>
      <c r="D19" s="37" t="s">
        <v>336</v>
      </c>
      <c r="E19" s="37" t="s">
        <v>330</v>
      </c>
    </row>
    <row r="20" customFormat="false" ht="15" hidden="false" customHeight="false" outlineLevel="0" collapsed="false">
      <c r="A20" s="37" t="n">
        <v>16</v>
      </c>
      <c r="B20" s="37" t="s">
        <v>342</v>
      </c>
      <c r="C20" s="37" t="s">
        <v>350</v>
      </c>
      <c r="D20" s="37" t="s">
        <v>336</v>
      </c>
      <c r="E20" s="37" t="s">
        <v>334</v>
      </c>
    </row>
    <row r="21" customFormat="false" ht="15" hidden="false" customHeight="false" outlineLevel="0" collapsed="false">
      <c r="A21" s="37" t="n">
        <v>17</v>
      </c>
      <c r="B21" s="37" t="s">
        <v>351</v>
      </c>
      <c r="C21" s="37" t="s">
        <v>352</v>
      </c>
      <c r="D21" s="37" t="s">
        <v>333</v>
      </c>
      <c r="E21" s="37" t="s">
        <v>334</v>
      </c>
    </row>
    <row r="22" customFormat="false" ht="15" hidden="false" customHeight="false" outlineLevel="0" collapsed="false">
      <c r="A22" s="37" t="n">
        <v>18</v>
      </c>
      <c r="B22" s="37" t="s">
        <v>351</v>
      </c>
      <c r="C22" s="37" t="s">
        <v>353</v>
      </c>
      <c r="D22" s="37" t="s">
        <v>333</v>
      </c>
      <c r="E22" s="37" t="s">
        <v>334</v>
      </c>
    </row>
    <row r="23" customFormat="false" ht="15" hidden="false" customHeight="false" outlineLevel="0" collapsed="false">
      <c r="A23" s="37" t="n">
        <v>19</v>
      </c>
      <c r="B23" s="37" t="s">
        <v>351</v>
      </c>
      <c r="C23" s="37" t="s">
        <v>354</v>
      </c>
      <c r="D23" s="37" t="s">
        <v>333</v>
      </c>
      <c r="E23" s="37" t="s">
        <v>334</v>
      </c>
    </row>
    <row r="24" customFormat="false" ht="15" hidden="false" customHeight="false" outlineLevel="0" collapsed="false">
      <c r="A24" s="37" t="n">
        <v>20</v>
      </c>
      <c r="B24" s="37" t="s">
        <v>351</v>
      </c>
      <c r="C24" s="37" t="s">
        <v>355</v>
      </c>
      <c r="D24" s="37" t="s">
        <v>333</v>
      </c>
      <c r="E24" s="37" t="s">
        <v>334</v>
      </c>
    </row>
    <row r="25" customFormat="false" ht="15" hidden="false" customHeight="false" outlineLevel="0" collapsed="false">
      <c r="A25" s="37" t="n">
        <v>21</v>
      </c>
      <c r="B25" s="37" t="s">
        <v>351</v>
      </c>
      <c r="C25" s="37" t="s">
        <v>356</v>
      </c>
      <c r="D25" s="37" t="s">
        <v>333</v>
      </c>
      <c r="E25" s="37" t="s">
        <v>334</v>
      </c>
    </row>
    <row r="26" customFormat="false" ht="15" hidden="false" customHeight="false" outlineLevel="0" collapsed="false">
      <c r="A26" s="37" t="n">
        <v>22</v>
      </c>
      <c r="B26" s="37" t="s">
        <v>351</v>
      </c>
      <c r="C26" s="37" t="s">
        <v>357</v>
      </c>
      <c r="D26" s="37" t="s">
        <v>336</v>
      </c>
      <c r="E26" s="37" t="s">
        <v>330</v>
      </c>
    </row>
    <row r="27" customFormat="false" ht="15" hidden="false" customHeight="false" outlineLevel="0" collapsed="false">
      <c r="A27" s="37" t="n">
        <v>23</v>
      </c>
      <c r="B27" s="37" t="s">
        <v>351</v>
      </c>
      <c r="C27" s="37" t="s">
        <v>358</v>
      </c>
      <c r="D27" s="37" t="s">
        <v>333</v>
      </c>
      <c r="E27" s="37" t="s">
        <v>334</v>
      </c>
    </row>
    <row r="28" customFormat="false" ht="15" hidden="false" customHeight="false" outlineLevel="0" collapsed="false">
      <c r="A28" s="37" t="n">
        <v>24</v>
      </c>
      <c r="B28" s="37" t="s">
        <v>359</v>
      </c>
      <c r="C28" s="37" t="s">
        <v>360</v>
      </c>
      <c r="D28" s="37" t="s">
        <v>361</v>
      </c>
      <c r="E28" s="37" t="s">
        <v>362</v>
      </c>
    </row>
    <row r="29" customFormat="false" ht="15" hidden="false" customHeight="false" outlineLevel="0" collapsed="false">
      <c r="A29" s="37" t="n">
        <v>25</v>
      </c>
      <c r="B29" s="37" t="s">
        <v>359</v>
      </c>
      <c r="C29" s="37" t="s">
        <v>363</v>
      </c>
      <c r="D29" s="37" t="s">
        <v>333</v>
      </c>
      <c r="E29" s="37" t="s">
        <v>334</v>
      </c>
    </row>
    <row r="30" customFormat="false" ht="15" hidden="false" customHeight="false" outlineLevel="0" collapsed="false">
      <c r="A30" s="37" t="n">
        <v>26</v>
      </c>
      <c r="B30" s="37" t="s">
        <v>359</v>
      </c>
      <c r="C30" s="37" t="s">
        <v>364</v>
      </c>
      <c r="D30" s="37" t="s">
        <v>333</v>
      </c>
      <c r="E30" s="37" t="s">
        <v>334</v>
      </c>
    </row>
    <row r="31" customFormat="false" ht="15" hidden="false" customHeight="false" outlineLevel="0" collapsed="false">
      <c r="A31" s="37" t="n">
        <v>27</v>
      </c>
      <c r="B31" s="37" t="s">
        <v>359</v>
      </c>
      <c r="C31" s="37" t="s">
        <v>365</v>
      </c>
      <c r="D31" s="37" t="s">
        <v>333</v>
      </c>
      <c r="E31" s="37" t="s">
        <v>334</v>
      </c>
    </row>
    <row r="32" customFormat="false" ht="15" hidden="false" customHeight="false" outlineLevel="0" collapsed="false">
      <c r="A32" s="37" t="n">
        <v>28</v>
      </c>
      <c r="B32" s="37" t="s">
        <v>359</v>
      </c>
      <c r="C32" s="37" t="s">
        <v>366</v>
      </c>
      <c r="D32" s="37" t="s">
        <v>333</v>
      </c>
      <c r="E32" s="37" t="s">
        <v>334</v>
      </c>
    </row>
    <row r="33" customFormat="false" ht="15" hidden="false" customHeight="false" outlineLevel="0" collapsed="false">
      <c r="A33" s="37" t="n">
        <v>29</v>
      </c>
      <c r="B33" s="37" t="s">
        <v>359</v>
      </c>
      <c r="C33" s="37" t="s">
        <v>367</v>
      </c>
      <c r="D33" s="37" t="s">
        <v>333</v>
      </c>
      <c r="E33" s="37" t="s">
        <v>334</v>
      </c>
    </row>
    <row r="34" customFormat="false" ht="15" hidden="false" customHeight="false" outlineLevel="0" collapsed="false">
      <c r="A34" s="37" t="n">
        <v>30</v>
      </c>
      <c r="B34" s="37" t="s">
        <v>368</v>
      </c>
      <c r="C34" s="37" t="s">
        <v>369</v>
      </c>
      <c r="D34" s="37" t="s">
        <v>336</v>
      </c>
      <c r="E34" s="37" t="s">
        <v>334</v>
      </c>
    </row>
    <row r="35" customFormat="false" ht="15" hidden="false" customHeight="false" outlineLevel="0" collapsed="false">
      <c r="A35" s="37" t="n">
        <v>31</v>
      </c>
      <c r="B35" s="37" t="s">
        <v>368</v>
      </c>
      <c r="C35" s="37" t="s">
        <v>370</v>
      </c>
      <c r="D35" s="37" t="s">
        <v>336</v>
      </c>
      <c r="E35" s="37" t="s">
        <v>334</v>
      </c>
    </row>
    <row r="36" customFormat="false" ht="15" hidden="false" customHeight="false" outlineLevel="0" collapsed="false">
      <c r="A36" s="37" t="n">
        <v>32</v>
      </c>
      <c r="B36" s="37" t="s">
        <v>368</v>
      </c>
      <c r="C36" s="37" t="s">
        <v>371</v>
      </c>
      <c r="D36" s="37" t="s">
        <v>336</v>
      </c>
      <c r="E36" s="37" t="s">
        <v>334</v>
      </c>
    </row>
    <row r="37" customFormat="false" ht="15" hidden="false" customHeight="false" outlineLevel="0" collapsed="false">
      <c r="A37" s="37" t="n">
        <v>33</v>
      </c>
      <c r="B37" s="37" t="s">
        <v>368</v>
      </c>
      <c r="C37" s="37" t="s">
        <v>372</v>
      </c>
      <c r="D37" s="37" t="s">
        <v>336</v>
      </c>
      <c r="E37" s="37" t="s">
        <v>334</v>
      </c>
    </row>
    <row r="38" customFormat="false" ht="15" hidden="false" customHeight="false" outlineLevel="0" collapsed="false">
      <c r="A38" s="37" t="n">
        <v>34</v>
      </c>
      <c r="B38" s="37" t="s">
        <v>373</v>
      </c>
      <c r="C38" s="37" t="s">
        <v>374</v>
      </c>
      <c r="D38" s="37" t="s">
        <v>336</v>
      </c>
      <c r="E38" s="37" t="s">
        <v>334</v>
      </c>
    </row>
    <row r="39" customFormat="false" ht="15" hidden="false" customHeight="false" outlineLevel="0" collapsed="false">
      <c r="A39" s="37" t="n">
        <v>35</v>
      </c>
      <c r="B39" s="37" t="s">
        <v>373</v>
      </c>
      <c r="C39" s="37" t="s">
        <v>375</v>
      </c>
      <c r="D39" s="37" t="s">
        <v>336</v>
      </c>
      <c r="E39" s="37" t="s">
        <v>334</v>
      </c>
    </row>
    <row r="40" customFormat="false" ht="15" hidden="false" customHeight="false" outlineLevel="0" collapsed="false">
      <c r="A40" s="37" t="n">
        <v>36</v>
      </c>
      <c r="B40" s="37" t="s">
        <v>373</v>
      </c>
      <c r="C40" s="37" t="s">
        <v>376</v>
      </c>
      <c r="D40" s="37" t="s">
        <v>336</v>
      </c>
      <c r="E40" s="37" t="s">
        <v>334</v>
      </c>
    </row>
    <row r="41" customFormat="false" ht="15" hidden="false" customHeight="false" outlineLevel="0" collapsed="false">
      <c r="A41" s="37" t="n">
        <v>37</v>
      </c>
      <c r="B41" s="37" t="s">
        <v>373</v>
      </c>
      <c r="C41" s="37" t="s">
        <v>377</v>
      </c>
      <c r="D41" s="37" t="s">
        <v>336</v>
      </c>
      <c r="E41" s="37" t="s">
        <v>334</v>
      </c>
    </row>
    <row r="42" customFormat="false" ht="15" hidden="false" customHeight="false" outlineLevel="0" collapsed="false">
      <c r="A42" s="37" t="n">
        <v>38</v>
      </c>
      <c r="B42" s="37" t="s">
        <v>373</v>
      </c>
      <c r="C42" s="37" t="s">
        <v>378</v>
      </c>
      <c r="D42" s="37" t="s">
        <v>336</v>
      </c>
      <c r="E42" s="37" t="s">
        <v>334</v>
      </c>
    </row>
    <row r="44" customFormat="false" ht="15" hidden="false" customHeight="false" outlineLevel="0" collapsed="false">
      <c r="C44" s="2" t="s">
        <v>379</v>
      </c>
      <c r="D44" s="2" t="n">
        <f aca="false">COUNTA(C5:C42)</f>
        <v>38</v>
      </c>
    </row>
    <row r="45" customFormat="false" ht="15" hidden="false" customHeight="false" outlineLevel="0" collapsed="false">
      <c r="C45" s="5" t="s">
        <v>380</v>
      </c>
      <c r="D45" s="38" t="n">
        <f aca="false">MAX(COUNTIF(B5:B42,"ID1*"),COUNTIF(B5:B42,"ID2*"),COUNTIF(B5:B42,"ID3*"),COUNTIF(B5:B42,"ID4*"),COUNTIF(B5:B42,"ID5*"),COUNTIF(B5:B42,"ID6*"))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5" hidden="false" customHeight="false" outlineLevel="0" collapsed="false">
      <c r="B1" s="34" t="s">
        <v>381</v>
      </c>
    </row>
    <row r="3" customFormat="false" ht="27.75" hidden="false" customHeight="true" outlineLevel="0" collapsed="false">
      <c r="A3" s="0" t="s">
        <v>382</v>
      </c>
      <c r="B3" s="6" t="s">
        <v>383</v>
      </c>
    </row>
    <row r="4" customFormat="false" ht="27.75" hidden="false" customHeight="true" outlineLevel="0" collapsed="false">
      <c r="A4" s="0" t="s">
        <v>382</v>
      </c>
      <c r="B4" s="6" t="s">
        <v>384</v>
      </c>
    </row>
    <row r="5" customFormat="false" ht="27.75" hidden="false" customHeight="true" outlineLevel="0" collapsed="false">
      <c r="A5" s="0" t="s">
        <v>382</v>
      </c>
      <c r="B5" s="6" t="s">
        <v>385</v>
      </c>
    </row>
    <row r="6" customFormat="false" ht="27.75" hidden="false" customHeight="true" outlineLevel="0" collapsed="false">
      <c r="A6" s="0" t="s">
        <v>382</v>
      </c>
      <c r="B6" s="6" t="s">
        <v>386</v>
      </c>
    </row>
    <row r="7" customFormat="false" ht="27.75" hidden="false" customHeight="true" outlineLevel="0" collapsed="false">
      <c r="A7" s="0" t="s">
        <v>382</v>
      </c>
      <c r="B7" s="6" t="s">
        <v>387</v>
      </c>
    </row>
    <row r="8" customFormat="false" ht="27.75" hidden="false" customHeight="true" outlineLevel="0" collapsed="false">
      <c r="A8" s="0" t="s">
        <v>382</v>
      </c>
      <c r="B8" s="6" t="s">
        <v>388</v>
      </c>
    </row>
    <row r="9" customFormat="false" ht="27.75" hidden="false" customHeight="true" outlineLevel="0" collapsed="false">
      <c r="A9" s="0" t="s">
        <v>382</v>
      </c>
      <c r="B9" s="6" t="s">
        <v>389</v>
      </c>
    </row>
    <row r="10" customFormat="false" ht="27.75" hidden="false" customHeight="true" outlineLevel="0" collapsed="false">
      <c r="A10" s="0" t="s">
        <v>382</v>
      </c>
      <c r="B10" s="6" t="s">
        <v>390</v>
      </c>
    </row>
    <row r="11" customFormat="false" ht="27.75" hidden="false" customHeight="true" outlineLevel="0" collapsed="false">
      <c r="A11" s="0" t="s">
        <v>382</v>
      </c>
      <c r="B11" s="6" t="s">
        <v>391</v>
      </c>
    </row>
    <row r="12" customFormat="false" ht="27.75" hidden="false" customHeight="true" outlineLevel="0" collapsed="false">
      <c r="A12" s="0" t="s">
        <v>382</v>
      </c>
      <c r="B12" s="6" t="s">
        <v>392</v>
      </c>
    </row>
    <row r="13" customFormat="false" ht="42" hidden="false" customHeight="true" outlineLevel="0" collapsed="false">
      <c r="A13" s="0" t="s">
        <v>382</v>
      </c>
      <c r="B13" s="6" t="s">
        <v>393</v>
      </c>
    </row>
    <row r="15" customFormat="false" ht="15" hidden="false" customHeight="false" outlineLevel="0" collapsed="false">
      <c r="B15" s="39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2026-10-16T09:21:24Z</dcterms:created>
  <dc:creator>openpyxl</dc:creator>
  <dc:description/>
  <dc:language>en-US</dc:language>
  <cp:lastModifiedBy/>
  <dcterms:modified xsi:type="dcterms:W3CDTF">2026-10-16T09:21:25Z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