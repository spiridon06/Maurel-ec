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s" sheetId="1" state="visible" r:id="rId3"/>
    <sheet name="Tableau électrique" sheetId="2" state="visible" r:id="rId4"/>
    <sheet name="Points à vérifier" sheetId="3" state="visible" r:id="rId5"/>
  </sheets>
  <definedNames>
    <definedName function="false" hidden="false" localSheetId="0" name="_xlnm.Print_Titles" vbProcedure="false">Devis!$9:$9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08" authorId="0">
      <text>
        <r>
          <rPr>
            <sz val="10"/>
            <rFont val="Arial"/>
            <family val="2"/>
          </rPr>
          <t xml:space="preserve">TVA 10 % : travaux d'amélioration dans un logement de plus de 2 ans (attestation simplifiée à faire signer par la cliente). Mettre 20 % si non éligible.</t>
        </r>
      </text>
    </comment>
  </commentList>
</comments>
</file>

<file path=xl/sharedStrings.xml><?xml version="1.0" encoding="utf-8"?>
<sst xmlns="http://schemas.openxmlformats.org/spreadsheetml/2006/main" count="435" uniqueCount="273">
  <si>
    <t xml:space="preserve">MAUREL'EC</t>
  </si>
  <si>
    <t xml:space="preserve">DEVIS N°</t>
  </si>
  <si>
    <t xml:space="preserve">[à compléter]</t>
  </si>
  <si>
    <t xml:space="preserve">Électricité générale – Domotique</t>
  </si>
  <si>
    <t xml:space="preserve">Date</t>
  </si>
  <si>
    <t xml:space="preserve">15/10/2026</t>
  </si>
  <si>
    <t xml:space="preserve">[Adresse] – [Téléphone] – maurelec.btp@gmail.com</t>
  </si>
  <si>
    <t xml:space="preserve">Validité</t>
  </si>
  <si>
    <t xml:space="preserve">3 mois</t>
  </si>
  <si>
    <t xml:space="preserve">SIRET : [à compléter] – Assurance décennale : [à compléter]</t>
  </si>
  <si>
    <t xml:space="preserve">CLIENTE :</t>
  </si>
  <si>
    <t xml:space="preserve">Mme [Nom] – [Adresse du chantier]</t>
  </si>
  <si>
    <t xml:space="preserve">OBJET :</t>
  </si>
  <si>
    <t xml:space="preserve">Rénovation électrique complète d'un appartement T4 (97,57 m² + 2 balcons) – installation 100 % connectée Legrand Céliane with Netatmo, pilotable sur smartphone, conforme NF C 15-100. Premier chiffrage établi sur plan, sans visite.</t>
  </si>
  <si>
    <t xml:space="preserve">N°</t>
  </si>
  <si>
    <t xml:space="preserve">Désignation (fourniture et pose)</t>
  </si>
  <si>
    <t xml:space="preserve">Unité</t>
  </si>
  <si>
    <t xml:space="preserve">Qté</t>
  </si>
  <si>
    <t xml:space="preserve">PU HT</t>
  </si>
  <si>
    <t xml:space="preserve">Total HT</t>
  </si>
  <si>
    <t xml:space="preserve">1</t>
  </si>
  <si>
    <t xml:space="preserve">INSTALLATION DE CHANTIER, DÉPOSE ET DÉCHETS</t>
  </si>
  <si>
    <t xml:space="preserve">1.1</t>
  </si>
  <si>
    <t xml:space="preserve">Approvisionnement du chantier : livraison du matériel, protections sols/menuiseries, mise en sécurité de l'installation existante</t>
  </si>
  <si>
    <t xml:space="preserve">Forfait</t>
  </si>
  <si>
    <t xml:space="preserve">1.2</t>
  </si>
  <si>
    <t xml:space="preserve">Dépose complète de l'installation électrique existante (tableau, appareillage, câbles et gaines accessibles)</t>
  </si>
  <si>
    <t xml:space="preserve">1.3</t>
  </si>
  <si>
    <t xml:space="preserve">Débarrassage, tri, évacuation et mise en déchetterie des déchets (gravats de saignées, câbles, emballages), frais de déchetterie inclus</t>
  </si>
  <si>
    <t xml:space="preserve">Sous-total lot 1</t>
  </si>
  <si>
    <t xml:space="preserve">2</t>
  </si>
  <si>
    <t xml:space="preserve">SAIGNÉES ET ENCASTREMENT EN MURS DURS ET SOLS</t>
  </si>
  <si>
    <t xml:space="preserve">2.1</t>
  </si>
  <si>
    <t xml:space="preserve">Saignées en murs durs (béton / maçonnerie pleine) à la rainureuse avec aspiration</t>
  </si>
  <si>
    <t xml:space="preserve">ml</t>
  </si>
  <si>
    <t xml:space="preserve">2.2</t>
  </si>
  <si>
    <t xml:space="preserve">Saignées au sol (dalle / chape) pour passage des gaines ICTA</t>
  </si>
  <si>
    <t xml:space="preserve">2.3</t>
  </si>
  <si>
    <t xml:space="preserve">Carottage et scellement des boîtes d'encastrement Ø67 dans le béton</t>
  </si>
  <si>
    <t xml:space="preserve">U</t>
  </si>
  <si>
    <t xml:space="preserve">2.4</t>
  </si>
  <si>
    <t xml:space="preserve">Carottages de traversée de murs porteurs / cloisons béton</t>
  </si>
  <si>
    <t xml:space="preserve">2.5</t>
  </si>
  <si>
    <t xml:space="preserve">Rebouchage des saignées au mortier / enduit (prêt à peindre, hors peinture)</t>
  </si>
  <si>
    <t xml:space="preserve">Sous-total lot 2</t>
  </si>
  <si>
    <t xml:space="preserve">3</t>
  </si>
  <si>
    <t xml:space="preserve">TABLEAU ÉLECTRIQUE ET GTL (situés dans le hall d'entrée)</t>
  </si>
  <si>
    <t xml:space="preserve">3.1</t>
  </si>
  <si>
    <t xml:space="preserve">GTL Legrand 13 modules (hauteur 2,60 m) avec couvercles</t>
  </si>
  <si>
    <t xml:space="preserve">3.2</t>
  </si>
  <si>
    <t xml:space="preserve">Coffret Legrand Drivia 18 modules 4 rangées avec porte (≈ 20 % de réserve)</t>
  </si>
  <si>
    <t xml:space="preserve">3.3</t>
  </si>
  <si>
    <t xml:space="preserve">Interrupteur différentiel Legrand 40 A 30 mA type A (circuits éclairage, prises, équipements)</t>
  </si>
  <si>
    <t xml:space="preserve">3.4</t>
  </si>
  <si>
    <t xml:space="preserve">Interrupteur différentiel Legrand 40 A 30 mA type F (cuisson, lave-linge, climatisations)</t>
  </si>
  <si>
    <t xml:space="preserve">3.5</t>
  </si>
  <si>
    <t xml:space="preserve">Interrupteur différentiel Legrand 63 A 30 mA type A (circuits plancher chauffant)</t>
  </si>
  <si>
    <t xml:space="preserve">3.6</t>
  </si>
  <si>
    <t xml:space="preserve">Disjoncteur Legrand DX3 Ph+N 2 A (filtre à air / ventilation)</t>
  </si>
  <si>
    <t xml:space="preserve">3.7</t>
  </si>
  <si>
    <t xml:space="preserve">Disjoncteur Legrand DX3 Ph+N 10 A (circuits éclairage)</t>
  </si>
  <si>
    <t xml:space="preserve">3.8</t>
  </si>
  <si>
    <t xml:space="preserve">Disjoncteur Legrand DX3 Ph+N 16 A (prises, volets, stores, porte WC, filtre à eau, balcons, alarme/caméras, coffret com.)</t>
  </si>
  <si>
    <t xml:space="preserve">3.9</t>
  </si>
  <si>
    <t xml:space="preserve">Disjoncteur Legrand DX3 Ph+N 16 A (circuits plancher chauffant, 1 par zone)</t>
  </si>
  <si>
    <t xml:space="preserve">3.10</t>
  </si>
  <si>
    <t xml:space="preserve">Disjoncteur Legrand DX3 Ph+N 20 A (prises séjour/cuisine, four, lave-vaisselle, lave-linge, sèche-linge, congélateur, 4 climatisations)</t>
  </si>
  <si>
    <t xml:space="preserve">3.11</t>
  </si>
  <si>
    <t xml:space="preserve">Disjoncteur Legrand DX3 Ph+N 32 A (plaque de cuisson)</t>
  </si>
  <si>
    <t xml:space="preserve">3.12</t>
  </si>
  <si>
    <t xml:space="preserve">Parafoudre Legrand type 2 Ph+N avec disjoncteur de déconnexion associé</t>
  </si>
  <si>
    <t xml:space="preserve">3.13</t>
  </si>
  <si>
    <t xml:space="preserve">Pack Legrand Drivia with Netatmo : module Control (passerelle), mesure des consommations, contacteur connecté</t>
  </si>
  <si>
    <t xml:space="preserve">3.14</t>
  </si>
  <si>
    <t xml:space="preserve">Peignes, borniers, repérage des circuits, câblage et mise en ordre du tableau</t>
  </si>
  <si>
    <t xml:space="preserve">3.15</t>
  </si>
  <si>
    <t xml:space="preserve">Tableau de communication Legrand Drivia grade 3TV (DTI, répartiteur RJ45, prise de courant intégrée)</t>
  </si>
  <si>
    <t xml:space="preserve">3.16</t>
  </si>
  <si>
    <t xml:space="preserve">Mise à la terre : barrette de coupure, conducteur principal, liaisons équipotentielles</t>
  </si>
  <si>
    <t xml:space="preserve">Sous-total lot 3</t>
  </si>
  <si>
    <t xml:space="preserve">4</t>
  </si>
  <si>
    <t xml:space="preserve">ÉCLAIRAGE CONNECTÉ – LEGRAND CÉLIANE WITH NETATMO</t>
  </si>
  <si>
    <t xml:space="preserve">4.1</t>
  </si>
  <si>
    <t xml:space="preserve">Point lumineux plafond DCL (boîte DCL + douille + fiche), câble 1,5 mm² sous ICTA depuis le tableau – séjour 3, cuisine 2, chambres 3, SDB 4, WC 1, hall 1, dégagement 2, buanderie 1, dressing 1</t>
  </si>
  <si>
    <t xml:space="preserve">4.2</t>
  </si>
  <si>
    <t xml:space="preserve">Interrupteur connecté Céliane with Netatmo (avec neutre) + plaque – séjour 2, cuisine 2, chambres 3, SDB 2, hall 1</t>
  </si>
  <si>
    <t xml:space="preserve">4.3</t>
  </si>
  <si>
    <t xml:space="preserve">Détecteur de présence plafond Legrand (allumage SANS CONTACT) – WC, dégagement, buanderie, dressing</t>
  </si>
  <si>
    <t xml:space="preserve">4.4</t>
  </si>
  <si>
    <t xml:space="preserve">Commande sans fil Céliane with Netatmo (va-et-vient, têtes de lit) – séjour 1, chambres 3, dégagement 1</t>
  </si>
  <si>
    <t xml:space="preserve">4.5</t>
  </si>
  <si>
    <t xml:space="preserve">Commande générale sans fil « Départ / Arrivée » et « Lever / Coucher » (entrée + chambre parentale)</t>
  </si>
  <si>
    <t xml:space="preserve">Sous-total lot 4</t>
  </si>
  <si>
    <t xml:space="preserve">5</t>
  </si>
  <si>
    <t xml:space="preserve">PRISES DE COURANT ET COMMUNICATION (NF C 15-100)</t>
  </si>
  <si>
    <t xml:space="preserve">5.1</t>
  </si>
  <si>
    <t xml:space="preserve">Prise de courant 16 A 2P+T Céliane + plaque, circuit 2,5 mm² – séjour 6, chambres 9, cuisine plan de travail 4 + 2 autres, SDB 4, buanderie 1, hall 1, dégagement 1, dressing 1</t>
  </si>
  <si>
    <t xml:space="preserve">5.2</t>
  </si>
  <si>
    <t xml:space="preserve">Prise de courant connectée Céliane with Netatmo (pilotage + mesure) – séjour 2, chambres 3</t>
  </si>
  <si>
    <t xml:space="preserve">5.3</t>
  </si>
  <si>
    <t xml:space="preserve">Prise RJ45 grade 3TV Céliane (séjour 2, chambres 3, cuisine 1) avec câble depuis le tableau de communication</t>
  </si>
  <si>
    <t xml:space="preserve">Sous-total lot 5</t>
  </si>
  <si>
    <t xml:space="preserve">6</t>
  </si>
  <si>
    <t xml:space="preserve">VOLETS ROULANTS ET STORES CONNECTÉS</t>
  </si>
  <si>
    <t xml:space="preserve">6.1</t>
  </si>
  <si>
    <t xml:space="preserve">Alimentation moteur + interrupteur de volet roulant connecté Céliane with Netatmo – chambres 3, séjour 2, cuisine 1</t>
  </si>
  <si>
    <t xml:space="preserve">6.2</t>
  </si>
  <si>
    <t xml:space="preserve">Commande générale volets roulants sans fil Céliane with Netatmo</t>
  </si>
  <si>
    <t xml:space="preserve">6.3</t>
  </si>
  <si>
    <t xml:space="preserve">Alimentation + commande de store connectée Céliane with Netatmo (stores des balcons)</t>
  </si>
  <si>
    <t xml:space="preserve">Sous-total lot 6</t>
  </si>
  <si>
    <t xml:space="preserve">7</t>
  </si>
  <si>
    <t xml:space="preserve">CHAUFFAGE AU SOL – ALIMENTATION ET RÉGULATION CONNECTÉE</t>
  </si>
  <si>
    <t xml:space="preserve">7.1</t>
  </si>
  <si>
    <t xml:space="preserve">Alimentation zone de plancher chauffant : circuit dédié, boîte de raccordement, raccordement trame + sonde de sol – séjour, 3 chambres, cuisine, 2 SDB, hall/dégagement, buanderie/dressing</t>
  </si>
  <si>
    <t xml:space="preserve">7.2</t>
  </si>
  <si>
    <t xml:space="preserve">Thermostat connecté à sonde de sol par zone, pilotable sur smartphone (modèle selon fabricant du plancher)</t>
  </si>
  <si>
    <t xml:space="preserve">Sous-total lot 7</t>
  </si>
  <si>
    <t xml:space="preserve">8</t>
  </si>
  <si>
    <t xml:space="preserve">CLIMATISATIONS RÉVERSIBLES (alimentations)</t>
  </si>
  <si>
    <t xml:space="preserve">8.1</t>
  </si>
  <si>
    <t xml:space="preserve">Alimentation dédiée climatisation réversible : circuit 20 A en 3G2,5 mm², sortie de câble + interrupteur de proximité côté unité extérieure</t>
  </si>
  <si>
    <t xml:space="preserve">Sous-total lot 8</t>
  </si>
  <si>
    <t xml:space="preserve">9</t>
  </si>
  <si>
    <t xml:space="preserve">CUISINE, ÉLECTROMÉNAGER ET ÉQUIPEMENTS (alimentations)</t>
  </si>
  <si>
    <t xml:space="preserve">9.1</t>
  </si>
  <si>
    <t xml:space="preserve">Sortie de câble 32 A plaque de cuisson, câble 3G6 mm²</t>
  </si>
  <si>
    <t xml:space="preserve">9.2</t>
  </si>
  <si>
    <t xml:space="preserve">Prise spécialisée 20 A four, circuit dédié 2,5 mm²</t>
  </si>
  <si>
    <t xml:space="preserve">9.3</t>
  </si>
  <si>
    <t xml:space="preserve">Prise spécialisée 20 A lave-vaisselle, circuit dédié 2,5 mm²</t>
  </si>
  <si>
    <t xml:space="preserve">9.4</t>
  </si>
  <si>
    <t xml:space="preserve">Prise spécialisée 20 A lave-linge, circuit dédié 2,5 mm²</t>
  </si>
  <si>
    <t xml:space="preserve">9.5</t>
  </si>
  <si>
    <t xml:space="preserve">Prise spécialisée 20 A sèche-linge, circuit dédié 2,5 mm²</t>
  </si>
  <si>
    <t xml:space="preserve">9.6</t>
  </si>
  <si>
    <t xml:space="preserve">Prise spécialisée 20 A congélateur, circuit dédié 2,5 mm²</t>
  </si>
  <si>
    <t xml:space="preserve">9.7</t>
  </si>
  <si>
    <t xml:space="preserve">Alimentation filtre à eau : prise dédiée sous évier, circuit 16 A</t>
  </si>
  <si>
    <t xml:space="preserve">9.8</t>
  </si>
  <si>
    <t xml:space="preserve">Alimentation filtre à air : sortie de câble + commande connectée, circuit 2 A</t>
  </si>
  <si>
    <t xml:space="preserve">9.9</t>
  </si>
  <si>
    <t xml:space="preserve">Alimentation porte électrique WC (sortie de câble, circuit 16 A) – porte non fournie</t>
  </si>
  <si>
    <t xml:space="preserve">Sous-total lot 9</t>
  </si>
  <si>
    <t xml:space="preserve">10</t>
  </si>
  <si>
    <t xml:space="preserve">BALCONS (2)</t>
  </si>
  <si>
    <t xml:space="preserve">10.1</t>
  </si>
  <si>
    <t xml:space="preserve">Point lumineux extérieur + applique LED étanche IP65 fournie (balcon séjour 2, balcon chambre/cuisine 1)</t>
  </si>
  <si>
    <t xml:space="preserve">10.2</t>
  </si>
  <si>
    <t xml:space="preserve">Interrupteur connecté Céliane with Netatmo pour éclairage balcon</t>
  </si>
  <si>
    <t xml:space="preserve">10.3</t>
  </si>
  <si>
    <t xml:space="preserve">Alimentation brumisateur + commande connectée (1 par balcon)</t>
  </si>
  <si>
    <t xml:space="preserve">10.4</t>
  </si>
  <si>
    <t xml:space="preserve">Alimentation ventilateur + commande connectée (1 par balcon)</t>
  </si>
  <si>
    <t xml:space="preserve">10.5</t>
  </si>
  <si>
    <t xml:space="preserve">Prise de courant étanche Legrand Plexo IP55 (1 par balcon)</t>
  </si>
  <si>
    <t xml:space="preserve">Sous-total lot 10</t>
  </si>
  <si>
    <t xml:space="preserve">11</t>
  </si>
  <si>
    <t xml:space="preserve">SÉCURITÉ : DÉTECTION, ALARME, CAMÉRAS</t>
  </si>
  <si>
    <t xml:space="preserve">11.1</t>
  </si>
  <si>
    <t xml:space="preserve">Détecteur de fumée connecté Netatmo (groupe Legrand) NF EN 14604 – hall, dégagement nuit, séjour</t>
  </si>
  <si>
    <t xml:space="preserve">11.2</t>
  </si>
  <si>
    <t xml:space="preserve">Caméra intérieure Netatmo (centrale de l'alarme), entrée</t>
  </si>
  <si>
    <t xml:space="preserve">11.3</t>
  </si>
  <si>
    <t xml:space="preserve">Sirène intérieure connectée Netatmo</t>
  </si>
  <si>
    <t xml:space="preserve">11.4</t>
  </si>
  <si>
    <t xml:space="preserve">Détecteur d'ouverture connecté Netatmo (porte d'entrée + 6 baies)</t>
  </si>
  <si>
    <t xml:space="preserve">11.5</t>
  </si>
  <si>
    <t xml:space="preserve">Circuit caméras : point d'alimentation dédié (câble + boîte) pour caméra</t>
  </si>
  <si>
    <t xml:space="preserve">11.6</t>
  </si>
  <si>
    <t xml:space="preserve">Caméra extérieure Netatmo avec projecteur (balcons)</t>
  </si>
  <si>
    <t xml:space="preserve">Sous-total lot 11</t>
  </si>
  <si>
    <t xml:space="preserve">12</t>
  </si>
  <si>
    <t xml:space="preserve">MISE EN SERVICE, DOMOTIQUE ET CONFORMITÉ</t>
  </si>
  <si>
    <t xml:space="preserve">12.1</t>
  </si>
  <si>
    <t xml:space="preserve">Paramétrage application Legrand Home + Control / Netatmo : pièces, scénarios, volets, stores, chauffage, alarme, assistants vocaux, formation de la cliente</t>
  </si>
  <si>
    <t xml:space="preserve">12.2</t>
  </si>
  <si>
    <t xml:space="preserve">Essais, autocontrôle, mesures (isolement, terre, différentiels) et mise en service</t>
  </si>
  <si>
    <t xml:space="preserve">12.3</t>
  </si>
  <si>
    <t xml:space="preserve">Attestation de conformité Consuel (rénovation totale) + dossier : schémas, plan d'implantation, DOE</t>
  </si>
  <si>
    <t xml:space="preserve">Sous-total lot 12</t>
  </si>
  <si>
    <t xml:space="preserve">TOTAL HT</t>
  </si>
  <si>
    <t xml:space="preserve">TVA</t>
  </si>
  <si>
    <t xml:space="preserve">TOTAL TTC</t>
  </si>
  <si>
    <t xml:space="preserve">Acompte 30 % à la commande</t>
  </si>
  <si>
    <t xml:space="preserve">OPTIONS (non comprises dans le total ci-dessus)</t>
  </si>
  <si>
    <t xml:space="preserve">OPT.1</t>
  </si>
  <si>
    <t xml:space="preserve">Fourniture et pose de trames chauffantes électriques pour plancher chauffant (≈ 85 m² chauffés, hors chape)</t>
  </si>
  <si>
    <t xml:space="preserve">m²</t>
  </si>
  <si>
    <t xml:space="preserve">OPT.2</t>
  </si>
  <si>
    <t xml:space="preserve">Spots LED encastrés étanches (séjour, cuisine, salles de bain), fourniture et pose</t>
  </si>
  <si>
    <t xml:space="preserve">OPT.3</t>
  </si>
  <si>
    <t xml:space="preserve">Alimentation hotte de cuisine + commande</t>
  </si>
  <si>
    <t xml:space="preserve">OPT.4</t>
  </si>
  <si>
    <t xml:space="preserve">Délesteur / gestionnaire d'énergie (chauffage + climatisations)</t>
  </si>
  <si>
    <t xml:space="preserve">Total options HT</t>
  </si>
  <si>
    <t xml:space="preserve">CONDITIONS ET RÉSERVES</t>
  </si>
  <si>
    <t xml:space="preserve">• NON COMPRIS : fourniture des volets roulants, stores, moteurs, climatisations, électroménager, filtres à eau/air, brumisateurs, ventilateurs et porte électrique WC (alimentation et commande uniquement) ; luminaires intérieurs (hors DCL) ; peinture après rebouchage ; demande de raccordement / modification d'abonnement Enedis.</t>
  </si>
  <si>
    <t xml:space="preserve">• Moteurs de volets et de stores : filaires standard (montée/descente) pour être commandés par les interrupteurs Céliane with Netatmo.</t>
  </si>
  <si>
    <t xml:space="preserve">• Pilotage : l'ensemble est piloté via l'application Legrand Home + Control (et Netatmo Security pour l'alarme/caméras), compatible Apple Home, Google et Alexa. Climatisations : pilotage via le module Wi-Fi du fabricant.</t>
  </si>
  <si>
    <t xml:space="preserve">• Chiffrage établi sur plan, sans visite technique : quantités et métrés à confirmer lors de la visite. Le devis définitif pourra être ajusté.</t>
  </si>
  <si>
    <t xml:space="preserve">• Conditions de paiement : 30 % à la commande, solde à la réception des travaux.</t>
  </si>
  <si>
    <t xml:space="preserve">Bon pour accord – Date et signature de la cliente :</t>
  </si>
  <si>
    <t xml:space="preserve">Répartition prévisionnelle des circuits – coffret Drivia 4 rangées (hall d'entrée)</t>
  </si>
  <si>
    <t xml:space="preserve">En tête : disjoncteur de branchement Enedis, parafoudre type 2, module Control Drivia with Netatmo + mesure.</t>
  </si>
  <si>
    <t xml:space="preserve">Différentiel 30 mA</t>
  </si>
  <si>
    <t xml:space="preserve">Circuit</t>
  </si>
  <si>
    <t xml:space="preserve">Disjoncteur</t>
  </si>
  <si>
    <t xml:space="preserve">Section</t>
  </si>
  <si>
    <t xml:space="preserve">ID1 – 40 A type A</t>
  </si>
  <si>
    <t xml:space="preserve">Éclairage zone jour (séjour, cuisine, hall)</t>
  </si>
  <si>
    <t xml:space="preserve">10 A</t>
  </si>
  <si>
    <t xml:space="preserve">1,5 mm²</t>
  </si>
  <si>
    <t xml:space="preserve">Éclairage zone nuit (chambres, dégagement, dressing)</t>
  </si>
  <si>
    <t xml:space="preserve">Prises séjour (8)</t>
  </si>
  <si>
    <t xml:space="preserve">20 A</t>
  </si>
  <si>
    <t xml:space="preserve">2,5 mm²</t>
  </si>
  <si>
    <t xml:space="preserve">Prises chambres 1 et 2 (8)</t>
  </si>
  <si>
    <t xml:space="preserve">16 A</t>
  </si>
  <si>
    <t xml:space="preserve">Volets roulants (6)</t>
  </si>
  <si>
    <t xml:space="preserve">Stores balcons (2)</t>
  </si>
  <si>
    <t xml:space="preserve">Coffret de communication</t>
  </si>
  <si>
    <t xml:space="preserve">Filtre à air / ventilation</t>
  </si>
  <si>
    <t xml:space="preserve">2 A</t>
  </si>
  <si>
    <t xml:space="preserve">ID2 – 40 A type A</t>
  </si>
  <si>
    <t xml:space="preserve">Éclairage pièces d'eau, WC, buanderie</t>
  </si>
  <si>
    <t xml:space="preserve">Éclairage balcons (extérieur)</t>
  </si>
  <si>
    <t xml:space="preserve">Prises chambre 3, hall, dégagement, dressing, SDB (8)</t>
  </si>
  <si>
    <t xml:space="preserve">Prises balcons + brumisateurs + ventilateurs</t>
  </si>
  <si>
    <t xml:space="preserve">Porte électrique WC</t>
  </si>
  <si>
    <t xml:space="preserve">Alarme / caméras / détecteurs</t>
  </si>
  <si>
    <t xml:space="preserve">Filtre à eau</t>
  </si>
  <si>
    <t xml:space="preserve">ID3 – 40 A type A</t>
  </si>
  <si>
    <t xml:space="preserve">Prises plan de travail cuisine (6)</t>
  </si>
  <si>
    <t xml:space="preserve">Four</t>
  </si>
  <si>
    <t xml:space="preserve">Lave-vaisselle</t>
  </si>
  <si>
    <t xml:space="preserve">Congélateur</t>
  </si>
  <si>
    <t xml:space="preserve">Sèche-linge</t>
  </si>
  <si>
    <t xml:space="preserve">ID4 – 40 A type F</t>
  </si>
  <si>
    <t xml:space="preserve">Plaque de cuisson</t>
  </si>
  <si>
    <t xml:space="preserve">32 A</t>
  </si>
  <si>
    <t xml:space="preserve">6 mm²</t>
  </si>
  <si>
    <t xml:space="preserve">Lave-linge</t>
  </si>
  <si>
    <t xml:space="preserve">Climatisation 1</t>
  </si>
  <si>
    <t xml:space="preserve">Climatisation 2</t>
  </si>
  <si>
    <t xml:space="preserve">Climatisation 3</t>
  </si>
  <si>
    <t xml:space="preserve">Climatisation 4</t>
  </si>
  <si>
    <t xml:space="preserve">ID5 – 63 A type A</t>
  </si>
  <si>
    <t xml:space="preserve">Plancher chauffant séjour</t>
  </si>
  <si>
    <t xml:space="preserve">Plancher chauffant cuisine</t>
  </si>
  <si>
    <t xml:space="preserve">Plancher chauffant hall / dégagement</t>
  </si>
  <si>
    <t xml:space="preserve">Plancher chauffant buanderie / dressing</t>
  </si>
  <si>
    <t xml:space="preserve">ID6 – 63 A type A</t>
  </si>
  <si>
    <t xml:space="preserve">Plancher chauffant chambre 1</t>
  </si>
  <si>
    <t xml:space="preserve">Plancher chauffant chambre 2</t>
  </si>
  <si>
    <t xml:space="preserve">Plancher chauffant chambre 3</t>
  </si>
  <si>
    <t xml:space="preserve">Plancher chauffant salle de bain 1</t>
  </si>
  <si>
    <t xml:space="preserve">Plancher chauffant salle de bain 2</t>
  </si>
  <si>
    <t xml:space="preserve">Nombre de circuits</t>
  </si>
  <si>
    <t xml:space="preserve">Nombre maximum de circuits par différentiel (8 recommandé)</t>
  </si>
  <si>
    <t xml:space="preserve">Hypothèses retenues et points à vérifier lors de la visite</t>
  </si>
  <si>
    <t xml:space="preserve">•</t>
  </si>
  <si>
    <t xml:space="preserve">SANS CONTACT : la gamme Céliane with Netatmo n'a pas d'interrupteur tactile capacitif. Le « sans contact » est obtenu par détecteurs de présence (WC, dégagement, buanderie, dressing), commandes vocales et smartphone. Si la cliente veut des interrupteurs tactiles partout, prévoir une autre solution (ex. écran tactile MyHOME) à rechiffrer.</t>
  </si>
  <si>
    <t xml:space="preserve">PUISSANCE : plancher chauffant (~8,5 kW) + 4 climatisations + cuisson → vérifier l'abonnement (probablement 18 kVA mono ou passage en triphasé). Délesteur conseillé (en option).</t>
  </si>
  <si>
    <t xml:space="preserve">PLANCHER CHAUFFANT : électrique ou à eau ? Le devis comprend alimentations + régulation. La fourniture/pose des trames est en option. Si plancher à eau, supprimer l'option et revoir les circuits (pompe / régulation).</t>
  </si>
  <si>
    <t xml:space="preserve">CHAUFFE-EAU : non mentionné (collectif ou individuel ?). Si ballon électrique : ajouter circuit 20 A + contacteur heures creuses.</t>
  </si>
  <si>
    <t xml:space="preserve">HOTTE : non mentionnée – en option.</t>
  </si>
  <si>
    <t xml:space="preserve">VOLETS : 6 estimés d'après le plan (3 chambres, 2 séjour, 1 cuisine). STORES : 2 estimés (balcons). À compter sur place.</t>
  </si>
  <si>
    <t xml:space="preserve">CAMÉRAS : 3 points d'alimentation + 2 caméras extérieures fournies – à confirmer avec la cliente (ou alimentation seule).</t>
  </si>
  <si>
    <t xml:space="preserve">PIÈCES : la cliente annonce 3 chambres, séjour, cuisine, buanderie, dressing, 2 SDB, WC. Les « SÉCH. » / « RANGT. » du plan sont supposés être la buanderie et le dressing.</t>
  </si>
  <si>
    <t xml:space="preserve">Saignées : 190 ml murs + 85 ml sol estimés pour un immeuble béton – à recaler à la visite (ce poste pèse lourd dans le total).</t>
  </si>
  <si>
    <t xml:space="preserve">Prix fourniture + pose basés sur des tarifs publics moyens Legrand/Netatmo : à vérifier avec ton grossiste et à ajuster selon ta remise.</t>
  </si>
  <si>
    <t xml:space="preserve">Légende : chiffres en BLEU = quantités / prix modifiables ; cellule JAUNE = taux de TVA.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</si>
</sst>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%"/>
    <numFmt numFmtId="167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22222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</cols>
  <sheetData>
    <row r="1" customFormat="false" ht="24.45" hidden="false" customHeight="false" outlineLevel="0" collapsed="false">
      <c r="A1" s="1" t="s">
        <v>0</v>
      </c>
      <c r="E1" s="2" t="s">
        <v>1</v>
      </c>
      <c r="F1" s="3" t="s">
        <v>2</v>
      </c>
    </row>
    <row r="2" customFormat="false" ht="15" hidden="false" customHeight="false" outlineLevel="0" collapsed="false">
      <c r="A2" s="4" t="s">
        <v>3</v>
      </c>
      <c r="E2" s="2" t="s">
        <v>4</v>
      </c>
      <c r="F2" s="3" t="s">
        <v>5</v>
      </c>
    </row>
    <row r="3" customFormat="false" ht="15" hidden="false" customHeight="false" outlineLevel="0" collapsed="false">
      <c r="A3" s="5" t="s">
        <v>6</v>
      </c>
      <c r="E3" s="2" t="s">
        <v>7</v>
      </c>
      <c r="F3" s="3" t="s">
        <v>8</v>
      </c>
    </row>
    <row r="4" customFormat="false" ht="15" hidden="false" customHeight="false" outlineLevel="0" collapsed="false">
      <c r="A4" s="5" t="s">
        <v>9</v>
      </c>
    </row>
    <row r="6" customFormat="false" ht="15" hidden="false" customHeight="fals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6" t="s">
        <v>13</v>
      </c>
    </row>
    <row r="9" customFormat="false" ht="15" hidden="false" customHeight="false" outlineLevel="0" collapsed="false">
      <c r="A9" s="7" t="s">
        <v>14</v>
      </c>
      <c r="B9" s="7" t="s">
        <v>15</v>
      </c>
      <c r="C9" s="7" t="s">
        <v>16</v>
      </c>
      <c r="D9" s="7" t="s">
        <v>17</v>
      </c>
      <c r="E9" s="7" t="s">
        <v>18</v>
      </c>
      <c r="F9" s="7" t="s">
        <v>19</v>
      </c>
    </row>
    <row r="10" customFormat="false" ht="15" hidden="false" customHeight="false" outlineLevel="0" collapsed="false">
      <c r="A10" s="8" t="s">
        <v>20</v>
      </c>
      <c r="B10" s="9" t="s">
        <v>21</v>
      </c>
      <c r="C10" s="9"/>
      <c r="D10" s="9"/>
      <c r="E10" s="9"/>
      <c r="F10" s="9"/>
    </row>
    <row r="11" customFormat="false" ht="25.5" hidden="false" customHeight="true" outlineLevel="0" collapsed="false">
      <c r="A11" s="10" t="s">
        <v>22</v>
      </c>
      <c r="B11" s="11" t="s">
        <v>23</v>
      </c>
      <c r="C11" s="10" t="s">
        <v>24</v>
      </c>
      <c r="D11" s="12" t="n">
        <v>1</v>
      </c>
      <c r="E11" s="13" t="n">
        <v>650</v>
      </c>
      <c r="F11" s="14" t="n">
        <f aca="false">D11*E11</f>
        <v>650</v>
      </c>
    </row>
    <row r="12" customFormat="false" ht="25.5" hidden="false" customHeight="true" outlineLevel="0" collapsed="false">
      <c r="A12" s="10" t="s">
        <v>25</v>
      </c>
      <c r="B12" s="11" t="s">
        <v>26</v>
      </c>
      <c r="C12" s="10" t="s">
        <v>24</v>
      </c>
      <c r="D12" s="12" t="n">
        <v>1</v>
      </c>
      <c r="E12" s="13" t="n">
        <v>1200</v>
      </c>
      <c r="F12" s="14" t="n">
        <f aca="false">D12*E12</f>
        <v>1200</v>
      </c>
    </row>
    <row r="13" customFormat="false" ht="25.5" hidden="false" customHeight="true" outlineLevel="0" collapsed="false">
      <c r="A13" s="10" t="s">
        <v>27</v>
      </c>
      <c r="B13" s="11" t="s">
        <v>28</v>
      </c>
      <c r="C13" s="10" t="s">
        <v>24</v>
      </c>
      <c r="D13" s="12" t="n">
        <v>1</v>
      </c>
      <c r="E13" s="13" t="n">
        <v>850</v>
      </c>
      <c r="F13" s="14" t="n">
        <f aca="false">D13*E13</f>
        <v>850</v>
      </c>
    </row>
    <row r="14" customFormat="false" ht="15" hidden="false" customHeight="false" outlineLevel="0" collapsed="false">
      <c r="E14" s="15" t="s">
        <v>29</v>
      </c>
      <c r="F14" s="16" t="n">
        <f aca="false">SUM(F11:F13)</f>
        <v>2700</v>
      </c>
    </row>
    <row r="16" customFormat="false" ht="15" hidden="false" customHeight="false" outlineLevel="0" collapsed="false">
      <c r="A16" s="8" t="s">
        <v>30</v>
      </c>
      <c r="B16" s="9" t="s">
        <v>31</v>
      </c>
      <c r="C16" s="9"/>
      <c r="D16" s="9"/>
      <c r="E16" s="9"/>
      <c r="F16" s="9"/>
    </row>
    <row r="17" customFormat="false" ht="15" hidden="false" customHeight="true" outlineLevel="0" collapsed="false">
      <c r="A17" s="10" t="s">
        <v>32</v>
      </c>
      <c r="B17" s="11" t="s">
        <v>33</v>
      </c>
      <c r="C17" s="10" t="s">
        <v>34</v>
      </c>
      <c r="D17" s="12" t="n">
        <v>190</v>
      </c>
      <c r="E17" s="13" t="n">
        <v>42</v>
      </c>
      <c r="F17" s="14" t="n">
        <f aca="false">D17*E17</f>
        <v>7980</v>
      </c>
    </row>
    <row r="18" customFormat="false" ht="15" hidden="false" customHeight="true" outlineLevel="0" collapsed="false">
      <c r="A18" s="10" t="s">
        <v>35</v>
      </c>
      <c r="B18" s="11" t="s">
        <v>36</v>
      </c>
      <c r="C18" s="10" t="s">
        <v>34</v>
      </c>
      <c r="D18" s="12" t="n">
        <v>85</v>
      </c>
      <c r="E18" s="13" t="n">
        <v>38</v>
      </c>
      <c r="F18" s="14" t="n">
        <f aca="false">D18*E18</f>
        <v>3230</v>
      </c>
    </row>
    <row r="19" customFormat="false" ht="15" hidden="false" customHeight="true" outlineLevel="0" collapsed="false">
      <c r="A19" s="10" t="s">
        <v>37</v>
      </c>
      <c r="B19" s="11" t="s">
        <v>38</v>
      </c>
      <c r="C19" s="10" t="s">
        <v>39</v>
      </c>
      <c r="D19" s="12" t="n">
        <v>140</v>
      </c>
      <c r="E19" s="13" t="n">
        <v>14</v>
      </c>
      <c r="F19" s="14" t="n">
        <f aca="false">D19*E19</f>
        <v>1960</v>
      </c>
    </row>
    <row r="20" customFormat="false" ht="15" hidden="false" customHeight="true" outlineLevel="0" collapsed="false">
      <c r="A20" s="10" t="s">
        <v>40</v>
      </c>
      <c r="B20" s="11" t="s">
        <v>41</v>
      </c>
      <c r="C20" s="10" t="s">
        <v>39</v>
      </c>
      <c r="D20" s="12" t="n">
        <v>14</v>
      </c>
      <c r="E20" s="13" t="n">
        <v>55</v>
      </c>
      <c r="F20" s="14" t="n">
        <f aca="false">D20*E20</f>
        <v>770</v>
      </c>
    </row>
    <row r="21" customFormat="false" ht="15" hidden="false" customHeight="true" outlineLevel="0" collapsed="false">
      <c r="A21" s="10" t="s">
        <v>42</v>
      </c>
      <c r="B21" s="11" t="s">
        <v>43</v>
      </c>
      <c r="C21" s="10" t="s">
        <v>34</v>
      </c>
      <c r="D21" s="12" t="n">
        <v>275</v>
      </c>
      <c r="E21" s="13" t="n">
        <v>11</v>
      </c>
      <c r="F21" s="14" t="n">
        <f aca="false">D21*E21</f>
        <v>3025</v>
      </c>
    </row>
    <row r="22" customFormat="false" ht="15" hidden="false" customHeight="false" outlineLevel="0" collapsed="false">
      <c r="E22" s="15" t="s">
        <v>44</v>
      </c>
      <c r="F22" s="16" t="n">
        <f aca="false">SUM(F17:F21)</f>
        <v>16965</v>
      </c>
    </row>
    <row r="24" customFormat="false" ht="15" hidden="false" customHeight="false" outlineLevel="0" collapsed="false">
      <c r="A24" s="8" t="s">
        <v>45</v>
      </c>
      <c r="B24" s="9" t="s">
        <v>46</v>
      </c>
      <c r="C24" s="9"/>
      <c r="D24" s="9"/>
      <c r="E24" s="9"/>
      <c r="F24" s="9"/>
    </row>
    <row r="25" customFormat="false" ht="15" hidden="false" customHeight="true" outlineLevel="0" collapsed="false">
      <c r="A25" s="10" t="s">
        <v>47</v>
      </c>
      <c r="B25" s="11" t="s">
        <v>48</v>
      </c>
      <c r="C25" s="10" t="s">
        <v>39</v>
      </c>
      <c r="D25" s="12" t="n">
        <v>1</v>
      </c>
      <c r="E25" s="13" t="n">
        <v>420</v>
      </c>
      <c r="F25" s="14" t="n">
        <f aca="false">D25*E25</f>
        <v>420</v>
      </c>
    </row>
    <row r="26" customFormat="false" ht="15" hidden="false" customHeight="true" outlineLevel="0" collapsed="false">
      <c r="A26" s="10" t="s">
        <v>49</v>
      </c>
      <c r="B26" s="11" t="s">
        <v>50</v>
      </c>
      <c r="C26" s="10" t="s">
        <v>39</v>
      </c>
      <c r="D26" s="12" t="n">
        <v>1</v>
      </c>
      <c r="E26" s="13" t="n">
        <v>460</v>
      </c>
      <c r="F26" s="14" t="n">
        <f aca="false">D26*E26</f>
        <v>460</v>
      </c>
    </row>
    <row r="27" customFormat="false" ht="25.5" hidden="false" customHeight="true" outlineLevel="0" collapsed="false">
      <c r="A27" s="10" t="s">
        <v>51</v>
      </c>
      <c r="B27" s="11" t="s">
        <v>52</v>
      </c>
      <c r="C27" s="10" t="s">
        <v>39</v>
      </c>
      <c r="D27" s="12" t="n">
        <v>3</v>
      </c>
      <c r="E27" s="13" t="n">
        <v>175</v>
      </c>
      <c r="F27" s="14" t="n">
        <f aca="false">D27*E27</f>
        <v>525</v>
      </c>
    </row>
    <row r="28" customFormat="false" ht="25.5" hidden="false" customHeight="true" outlineLevel="0" collapsed="false">
      <c r="A28" s="10" t="s">
        <v>53</v>
      </c>
      <c r="B28" s="11" t="s">
        <v>54</v>
      </c>
      <c r="C28" s="10" t="s">
        <v>39</v>
      </c>
      <c r="D28" s="12" t="n">
        <v>1</v>
      </c>
      <c r="E28" s="13" t="n">
        <v>260</v>
      </c>
      <c r="F28" s="14" t="n">
        <f aca="false">D28*E28</f>
        <v>260</v>
      </c>
    </row>
    <row r="29" customFormat="false" ht="15" hidden="false" customHeight="true" outlineLevel="0" collapsed="false">
      <c r="A29" s="10" t="s">
        <v>55</v>
      </c>
      <c r="B29" s="11" t="s">
        <v>56</v>
      </c>
      <c r="C29" s="10" t="s">
        <v>39</v>
      </c>
      <c r="D29" s="12" t="n">
        <v>2</v>
      </c>
      <c r="E29" s="13" t="n">
        <v>210</v>
      </c>
      <c r="F29" s="14" t="n">
        <f aca="false">D29*E29</f>
        <v>420</v>
      </c>
    </row>
    <row r="30" customFormat="false" ht="15" hidden="false" customHeight="true" outlineLevel="0" collapsed="false">
      <c r="A30" s="10" t="s">
        <v>57</v>
      </c>
      <c r="B30" s="11" t="s">
        <v>58</v>
      </c>
      <c r="C30" s="10" t="s">
        <v>39</v>
      </c>
      <c r="D30" s="12" t="n">
        <v>1</v>
      </c>
      <c r="E30" s="13" t="n">
        <v>38</v>
      </c>
      <c r="F30" s="14" t="n">
        <f aca="false">D30*E30</f>
        <v>38</v>
      </c>
    </row>
    <row r="31" customFormat="false" ht="15" hidden="false" customHeight="true" outlineLevel="0" collapsed="false">
      <c r="A31" s="10" t="s">
        <v>59</v>
      </c>
      <c r="B31" s="11" t="s">
        <v>60</v>
      </c>
      <c r="C31" s="10" t="s">
        <v>39</v>
      </c>
      <c r="D31" s="12" t="n">
        <v>4</v>
      </c>
      <c r="E31" s="13" t="n">
        <v>38</v>
      </c>
      <c r="F31" s="14" t="n">
        <f aca="false">D31*E31</f>
        <v>152</v>
      </c>
    </row>
    <row r="32" customFormat="false" ht="25.5" hidden="false" customHeight="true" outlineLevel="0" collapsed="false">
      <c r="A32" s="10" t="s">
        <v>61</v>
      </c>
      <c r="B32" s="11" t="s">
        <v>62</v>
      </c>
      <c r="C32" s="10" t="s">
        <v>39</v>
      </c>
      <c r="D32" s="12" t="n">
        <v>9</v>
      </c>
      <c r="E32" s="13" t="n">
        <v>38</v>
      </c>
      <c r="F32" s="14" t="n">
        <f aca="false">D32*E32</f>
        <v>342</v>
      </c>
    </row>
    <row r="33" customFormat="false" ht="15" hidden="false" customHeight="true" outlineLevel="0" collapsed="false">
      <c r="A33" s="10" t="s">
        <v>63</v>
      </c>
      <c r="B33" s="11" t="s">
        <v>64</v>
      </c>
      <c r="C33" s="10" t="s">
        <v>39</v>
      </c>
      <c r="D33" s="12" t="n">
        <v>9</v>
      </c>
      <c r="E33" s="13" t="n">
        <v>38</v>
      </c>
      <c r="F33" s="14" t="n">
        <f aca="false">D33*E33</f>
        <v>342</v>
      </c>
    </row>
    <row r="34" customFormat="false" ht="25.5" hidden="false" customHeight="true" outlineLevel="0" collapsed="false">
      <c r="A34" s="10" t="s">
        <v>65</v>
      </c>
      <c r="B34" s="11" t="s">
        <v>66</v>
      </c>
      <c r="C34" s="10" t="s">
        <v>39</v>
      </c>
      <c r="D34" s="12" t="n">
        <v>11</v>
      </c>
      <c r="E34" s="13" t="n">
        <v>42</v>
      </c>
      <c r="F34" s="14" t="n">
        <f aca="false">D34*E34</f>
        <v>462</v>
      </c>
    </row>
    <row r="35" customFormat="false" ht="15" hidden="false" customHeight="true" outlineLevel="0" collapsed="false">
      <c r="A35" s="10" t="s">
        <v>67</v>
      </c>
      <c r="B35" s="11" t="s">
        <v>68</v>
      </c>
      <c r="C35" s="10" t="s">
        <v>39</v>
      </c>
      <c r="D35" s="12" t="n">
        <v>1</v>
      </c>
      <c r="E35" s="13" t="n">
        <v>48</v>
      </c>
      <c r="F35" s="14" t="n">
        <f aca="false">D35*E35</f>
        <v>48</v>
      </c>
    </row>
    <row r="36" customFormat="false" ht="15" hidden="false" customHeight="true" outlineLevel="0" collapsed="false">
      <c r="A36" s="10" t="s">
        <v>69</v>
      </c>
      <c r="B36" s="11" t="s">
        <v>70</v>
      </c>
      <c r="C36" s="10" t="s">
        <v>39</v>
      </c>
      <c r="D36" s="12" t="n">
        <v>1</v>
      </c>
      <c r="E36" s="13" t="n">
        <v>340</v>
      </c>
      <c r="F36" s="14" t="n">
        <f aca="false">D36*E36</f>
        <v>340</v>
      </c>
    </row>
    <row r="37" customFormat="false" ht="25.5" hidden="false" customHeight="true" outlineLevel="0" collapsed="false">
      <c r="A37" s="10" t="s">
        <v>71</v>
      </c>
      <c r="B37" s="11" t="s">
        <v>72</v>
      </c>
      <c r="C37" s="10" t="s">
        <v>39</v>
      </c>
      <c r="D37" s="12" t="n">
        <v>1</v>
      </c>
      <c r="E37" s="13" t="n">
        <v>480</v>
      </c>
      <c r="F37" s="14" t="n">
        <f aca="false">D37*E37</f>
        <v>480</v>
      </c>
    </row>
    <row r="38" customFormat="false" ht="15" hidden="false" customHeight="true" outlineLevel="0" collapsed="false">
      <c r="A38" s="10" t="s">
        <v>73</v>
      </c>
      <c r="B38" s="11" t="s">
        <v>74</v>
      </c>
      <c r="C38" s="10" t="s">
        <v>24</v>
      </c>
      <c r="D38" s="12" t="n">
        <v>1</v>
      </c>
      <c r="E38" s="13" t="n">
        <v>480</v>
      </c>
      <c r="F38" s="14" t="n">
        <f aca="false">D38*E38</f>
        <v>480</v>
      </c>
    </row>
    <row r="39" customFormat="false" ht="25.5" hidden="false" customHeight="true" outlineLevel="0" collapsed="false">
      <c r="A39" s="10" t="s">
        <v>75</v>
      </c>
      <c r="B39" s="11" t="s">
        <v>76</v>
      </c>
      <c r="C39" s="10" t="s">
        <v>39</v>
      </c>
      <c r="D39" s="12" t="n">
        <v>1</v>
      </c>
      <c r="E39" s="13" t="n">
        <v>680</v>
      </c>
      <c r="F39" s="14" t="n">
        <f aca="false">D39*E39</f>
        <v>680</v>
      </c>
    </row>
    <row r="40" customFormat="false" ht="25.5" hidden="false" customHeight="true" outlineLevel="0" collapsed="false">
      <c r="A40" s="10" t="s">
        <v>77</v>
      </c>
      <c r="B40" s="11" t="s">
        <v>78</v>
      </c>
      <c r="C40" s="10" t="s">
        <v>24</v>
      </c>
      <c r="D40" s="12" t="n">
        <v>1</v>
      </c>
      <c r="E40" s="13" t="n">
        <v>290</v>
      </c>
      <c r="F40" s="14" t="n">
        <f aca="false">D40*E40</f>
        <v>290</v>
      </c>
    </row>
    <row r="41" customFormat="false" ht="15" hidden="false" customHeight="false" outlineLevel="0" collapsed="false">
      <c r="E41" s="15" t="s">
        <v>79</v>
      </c>
      <c r="F41" s="16" t="n">
        <f aca="false">SUM(F25:F40)</f>
        <v>5739</v>
      </c>
    </row>
    <row r="43" customFormat="false" ht="15" hidden="false" customHeight="false" outlineLevel="0" collapsed="false">
      <c r="A43" s="8" t="s">
        <v>80</v>
      </c>
      <c r="B43" s="9" t="s">
        <v>81</v>
      </c>
      <c r="C43" s="9"/>
      <c r="D43" s="9"/>
      <c r="E43" s="9"/>
      <c r="F43" s="9"/>
    </row>
    <row r="44" customFormat="false" ht="39" hidden="false" customHeight="true" outlineLevel="0" collapsed="false">
      <c r="A44" s="10" t="s">
        <v>82</v>
      </c>
      <c r="B44" s="11" t="s">
        <v>83</v>
      </c>
      <c r="C44" s="10" t="s">
        <v>39</v>
      </c>
      <c r="D44" s="12" t="n">
        <v>18</v>
      </c>
      <c r="E44" s="13" t="n">
        <v>98</v>
      </c>
      <c r="F44" s="14" t="n">
        <f aca="false">D44*E44</f>
        <v>1764</v>
      </c>
    </row>
    <row r="45" customFormat="false" ht="25.5" hidden="false" customHeight="true" outlineLevel="0" collapsed="false">
      <c r="A45" s="10" t="s">
        <v>84</v>
      </c>
      <c r="B45" s="11" t="s">
        <v>85</v>
      </c>
      <c r="C45" s="10" t="s">
        <v>39</v>
      </c>
      <c r="D45" s="12" t="n">
        <v>10</v>
      </c>
      <c r="E45" s="13" t="n">
        <v>175</v>
      </c>
      <c r="F45" s="14" t="n">
        <f aca="false">D45*E45</f>
        <v>1750</v>
      </c>
    </row>
    <row r="46" customFormat="false" ht="25.5" hidden="false" customHeight="true" outlineLevel="0" collapsed="false">
      <c r="A46" s="10" t="s">
        <v>86</v>
      </c>
      <c r="B46" s="11" t="s">
        <v>87</v>
      </c>
      <c r="C46" s="10" t="s">
        <v>39</v>
      </c>
      <c r="D46" s="12" t="n">
        <v>4</v>
      </c>
      <c r="E46" s="13" t="n">
        <v>165</v>
      </c>
      <c r="F46" s="14" t="n">
        <f aca="false">D46*E46</f>
        <v>660</v>
      </c>
    </row>
    <row r="47" customFormat="false" ht="25.5" hidden="false" customHeight="true" outlineLevel="0" collapsed="false">
      <c r="A47" s="10" t="s">
        <v>88</v>
      </c>
      <c r="B47" s="11" t="s">
        <v>89</v>
      </c>
      <c r="C47" s="10" t="s">
        <v>39</v>
      </c>
      <c r="D47" s="12" t="n">
        <v>5</v>
      </c>
      <c r="E47" s="13" t="n">
        <v>105</v>
      </c>
      <c r="F47" s="14" t="n">
        <f aca="false">D47*E47</f>
        <v>525</v>
      </c>
    </row>
    <row r="48" customFormat="false" ht="25.5" hidden="false" customHeight="true" outlineLevel="0" collapsed="false">
      <c r="A48" s="10" t="s">
        <v>90</v>
      </c>
      <c r="B48" s="11" t="s">
        <v>91</v>
      </c>
      <c r="C48" s="10" t="s">
        <v>39</v>
      </c>
      <c r="D48" s="12" t="n">
        <v>2</v>
      </c>
      <c r="E48" s="13" t="n">
        <v>130</v>
      </c>
      <c r="F48" s="14" t="n">
        <f aca="false">D48*E48</f>
        <v>260</v>
      </c>
    </row>
    <row r="49" customFormat="false" ht="15" hidden="false" customHeight="false" outlineLevel="0" collapsed="false">
      <c r="E49" s="15" t="s">
        <v>92</v>
      </c>
      <c r="F49" s="16" t="n">
        <f aca="false">SUM(F44:F48)</f>
        <v>4959</v>
      </c>
    </row>
    <row r="51" customFormat="false" ht="15" hidden="false" customHeight="false" outlineLevel="0" collapsed="false">
      <c r="A51" s="8" t="s">
        <v>93</v>
      </c>
      <c r="B51" s="9" t="s">
        <v>94</v>
      </c>
      <c r="C51" s="9"/>
      <c r="D51" s="9"/>
      <c r="E51" s="9"/>
      <c r="F51" s="9"/>
    </row>
    <row r="52" customFormat="false" ht="39" hidden="false" customHeight="true" outlineLevel="0" collapsed="false">
      <c r="A52" s="10" t="s">
        <v>95</v>
      </c>
      <c r="B52" s="11" t="s">
        <v>96</v>
      </c>
      <c r="C52" s="10" t="s">
        <v>39</v>
      </c>
      <c r="D52" s="12" t="n">
        <v>29</v>
      </c>
      <c r="E52" s="13" t="n">
        <v>88</v>
      </c>
      <c r="F52" s="14" t="n">
        <f aca="false">D52*E52</f>
        <v>2552</v>
      </c>
    </row>
    <row r="53" customFormat="false" ht="25.5" hidden="false" customHeight="true" outlineLevel="0" collapsed="false">
      <c r="A53" s="10" t="s">
        <v>97</v>
      </c>
      <c r="B53" s="11" t="s">
        <v>98</v>
      </c>
      <c r="C53" s="10" t="s">
        <v>39</v>
      </c>
      <c r="D53" s="12" t="n">
        <v>5</v>
      </c>
      <c r="E53" s="13" t="n">
        <v>165</v>
      </c>
      <c r="F53" s="14" t="n">
        <f aca="false">D53*E53</f>
        <v>825</v>
      </c>
    </row>
    <row r="54" customFormat="false" ht="25.5" hidden="false" customHeight="true" outlineLevel="0" collapsed="false">
      <c r="A54" s="10" t="s">
        <v>99</v>
      </c>
      <c r="B54" s="11" t="s">
        <v>100</v>
      </c>
      <c r="C54" s="10" t="s">
        <v>39</v>
      </c>
      <c r="D54" s="12" t="n">
        <v>6</v>
      </c>
      <c r="E54" s="13" t="n">
        <v>125</v>
      </c>
      <c r="F54" s="14" t="n">
        <f aca="false">D54*E54</f>
        <v>750</v>
      </c>
    </row>
    <row r="55" customFormat="false" ht="15" hidden="false" customHeight="false" outlineLevel="0" collapsed="false">
      <c r="E55" s="15" t="s">
        <v>101</v>
      </c>
      <c r="F55" s="16" t="n">
        <f aca="false">SUM(F52:F54)</f>
        <v>4127</v>
      </c>
    </row>
    <row r="57" customFormat="false" ht="15" hidden="false" customHeight="false" outlineLevel="0" collapsed="false">
      <c r="A57" s="8" t="s">
        <v>102</v>
      </c>
      <c r="B57" s="9" t="s">
        <v>103</v>
      </c>
      <c r="C57" s="9"/>
      <c r="D57" s="9"/>
      <c r="E57" s="9"/>
      <c r="F57" s="9"/>
    </row>
    <row r="58" customFormat="false" ht="25.5" hidden="false" customHeight="true" outlineLevel="0" collapsed="false">
      <c r="A58" s="10" t="s">
        <v>104</v>
      </c>
      <c r="B58" s="11" t="s">
        <v>105</v>
      </c>
      <c r="C58" s="10" t="s">
        <v>39</v>
      </c>
      <c r="D58" s="12" t="n">
        <v>6</v>
      </c>
      <c r="E58" s="13" t="n">
        <v>225</v>
      </c>
      <c r="F58" s="14" t="n">
        <f aca="false">D58*E58</f>
        <v>1350</v>
      </c>
    </row>
    <row r="59" customFormat="false" ht="15" hidden="false" customHeight="true" outlineLevel="0" collapsed="false">
      <c r="A59" s="10" t="s">
        <v>106</v>
      </c>
      <c r="B59" s="11" t="s">
        <v>107</v>
      </c>
      <c r="C59" s="10" t="s">
        <v>39</v>
      </c>
      <c r="D59" s="12" t="n">
        <v>1</v>
      </c>
      <c r="E59" s="13" t="n">
        <v>130</v>
      </c>
      <c r="F59" s="14" t="n">
        <f aca="false">D59*E59</f>
        <v>130</v>
      </c>
    </row>
    <row r="60" customFormat="false" ht="15" hidden="false" customHeight="true" outlineLevel="0" collapsed="false">
      <c r="A60" s="10" t="s">
        <v>108</v>
      </c>
      <c r="B60" s="11" t="s">
        <v>109</v>
      </c>
      <c r="C60" s="10" t="s">
        <v>39</v>
      </c>
      <c r="D60" s="12" t="n">
        <v>2</v>
      </c>
      <c r="E60" s="13" t="n">
        <v>245</v>
      </c>
      <c r="F60" s="14" t="n">
        <f aca="false">D60*E60</f>
        <v>490</v>
      </c>
    </row>
    <row r="61" customFormat="false" ht="15" hidden="false" customHeight="false" outlineLevel="0" collapsed="false">
      <c r="E61" s="15" t="s">
        <v>110</v>
      </c>
      <c r="F61" s="16" t="n">
        <f aca="false">SUM(F58:F60)</f>
        <v>1970</v>
      </c>
    </row>
    <row r="63" customFormat="false" ht="15" hidden="false" customHeight="false" outlineLevel="0" collapsed="false">
      <c r="A63" s="8" t="s">
        <v>111</v>
      </c>
      <c r="B63" s="9" t="s">
        <v>112</v>
      </c>
      <c r="C63" s="9"/>
      <c r="D63" s="9"/>
      <c r="E63" s="9"/>
      <c r="F63" s="9"/>
    </row>
    <row r="64" customFormat="false" ht="39" hidden="false" customHeight="true" outlineLevel="0" collapsed="false">
      <c r="A64" s="10" t="s">
        <v>113</v>
      </c>
      <c r="B64" s="11" t="s">
        <v>114</v>
      </c>
      <c r="C64" s="10" t="s">
        <v>39</v>
      </c>
      <c r="D64" s="12" t="n">
        <v>9</v>
      </c>
      <c r="E64" s="13" t="n">
        <v>270</v>
      </c>
      <c r="F64" s="14" t="n">
        <f aca="false">D64*E64</f>
        <v>2430</v>
      </c>
    </row>
    <row r="65" customFormat="false" ht="25.5" hidden="false" customHeight="true" outlineLevel="0" collapsed="false">
      <c r="A65" s="10" t="s">
        <v>115</v>
      </c>
      <c r="B65" s="11" t="s">
        <v>116</v>
      </c>
      <c r="C65" s="10" t="s">
        <v>39</v>
      </c>
      <c r="D65" s="12" t="n">
        <v>9</v>
      </c>
      <c r="E65" s="13" t="n">
        <v>235</v>
      </c>
      <c r="F65" s="14" t="n">
        <f aca="false">D65*E65</f>
        <v>2115</v>
      </c>
    </row>
    <row r="66" customFormat="false" ht="15" hidden="false" customHeight="false" outlineLevel="0" collapsed="false">
      <c r="E66" s="15" t="s">
        <v>117</v>
      </c>
      <c r="F66" s="16" t="n">
        <f aca="false">SUM(F64:F65)</f>
        <v>4545</v>
      </c>
    </row>
    <row r="68" customFormat="false" ht="15" hidden="false" customHeight="false" outlineLevel="0" collapsed="false">
      <c r="A68" s="8" t="s">
        <v>118</v>
      </c>
      <c r="B68" s="9" t="s">
        <v>119</v>
      </c>
      <c r="C68" s="9"/>
      <c r="D68" s="9"/>
      <c r="E68" s="9"/>
      <c r="F68" s="9"/>
    </row>
    <row r="69" customFormat="false" ht="25.5" hidden="false" customHeight="true" outlineLevel="0" collapsed="false">
      <c r="A69" s="10" t="s">
        <v>120</v>
      </c>
      <c r="B69" s="11" t="s">
        <v>121</v>
      </c>
      <c r="C69" s="10" t="s">
        <v>39</v>
      </c>
      <c r="D69" s="12" t="n">
        <v>4</v>
      </c>
      <c r="E69" s="13" t="n">
        <v>310</v>
      </c>
      <c r="F69" s="14" t="n">
        <f aca="false">D69*E69</f>
        <v>1240</v>
      </c>
    </row>
    <row r="70" customFormat="false" ht="15" hidden="false" customHeight="false" outlineLevel="0" collapsed="false">
      <c r="E70" s="15" t="s">
        <v>122</v>
      </c>
      <c r="F70" s="16" t="n">
        <f aca="false">SUM(F69:F69)</f>
        <v>1240</v>
      </c>
    </row>
    <row r="72" customFormat="false" ht="15" hidden="false" customHeight="false" outlineLevel="0" collapsed="false">
      <c r="A72" s="8" t="s">
        <v>123</v>
      </c>
      <c r="B72" s="9" t="s">
        <v>124</v>
      </c>
      <c r="C72" s="9"/>
      <c r="D72" s="9"/>
      <c r="E72" s="9"/>
      <c r="F72" s="9"/>
    </row>
    <row r="73" customFormat="false" ht="15" hidden="false" customHeight="true" outlineLevel="0" collapsed="false">
      <c r="A73" s="10" t="s">
        <v>125</v>
      </c>
      <c r="B73" s="11" t="s">
        <v>126</v>
      </c>
      <c r="C73" s="10" t="s">
        <v>39</v>
      </c>
      <c r="D73" s="12" t="n">
        <v>1</v>
      </c>
      <c r="E73" s="13" t="n">
        <v>270</v>
      </c>
      <c r="F73" s="14" t="n">
        <f aca="false">D73*E73</f>
        <v>270</v>
      </c>
    </row>
    <row r="74" customFormat="false" ht="15" hidden="false" customHeight="true" outlineLevel="0" collapsed="false">
      <c r="A74" s="10" t="s">
        <v>127</v>
      </c>
      <c r="B74" s="11" t="s">
        <v>128</v>
      </c>
      <c r="C74" s="10" t="s">
        <v>39</v>
      </c>
      <c r="D74" s="12" t="n">
        <v>1</v>
      </c>
      <c r="E74" s="13" t="n">
        <v>195</v>
      </c>
      <c r="F74" s="14" t="n">
        <f aca="false">D74*E74</f>
        <v>195</v>
      </c>
    </row>
    <row r="75" customFormat="false" ht="15" hidden="false" customHeight="true" outlineLevel="0" collapsed="false">
      <c r="A75" s="10" t="s">
        <v>129</v>
      </c>
      <c r="B75" s="11" t="s">
        <v>130</v>
      </c>
      <c r="C75" s="10" t="s">
        <v>39</v>
      </c>
      <c r="D75" s="12" t="n">
        <v>1</v>
      </c>
      <c r="E75" s="13" t="n">
        <v>195</v>
      </c>
      <c r="F75" s="14" t="n">
        <f aca="false">D75*E75</f>
        <v>195</v>
      </c>
    </row>
    <row r="76" customFormat="false" ht="15" hidden="false" customHeight="true" outlineLevel="0" collapsed="false">
      <c r="A76" s="10" t="s">
        <v>131</v>
      </c>
      <c r="B76" s="11" t="s">
        <v>132</v>
      </c>
      <c r="C76" s="10" t="s">
        <v>39</v>
      </c>
      <c r="D76" s="12" t="n">
        <v>1</v>
      </c>
      <c r="E76" s="13" t="n">
        <v>195</v>
      </c>
      <c r="F76" s="14" t="n">
        <f aca="false">D76*E76</f>
        <v>195</v>
      </c>
    </row>
    <row r="77" customFormat="false" ht="15" hidden="false" customHeight="true" outlineLevel="0" collapsed="false">
      <c r="A77" s="10" t="s">
        <v>133</v>
      </c>
      <c r="B77" s="11" t="s">
        <v>134</v>
      </c>
      <c r="C77" s="10" t="s">
        <v>39</v>
      </c>
      <c r="D77" s="12" t="n">
        <v>1</v>
      </c>
      <c r="E77" s="13" t="n">
        <v>195</v>
      </c>
      <c r="F77" s="14" t="n">
        <f aca="false">D77*E77</f>
        <v>195</v>
      </c>
    </row>
    <row r="78" customFormat="false" ht="15" hidden="false" customHeight="true" outlineLevel="0" collapsed="false">
      <c r="A78" s="10" t="s">
        <v>135</v>
      </c>
      <c r="B78" s="11" t="s">
        <v>136</v>
      </c>
      <c r="C78" s="10" t="s">
        <v>39</v>
      </c>
      <c r="D78" s="12" t="n">
        <v>1</v>
      </c>
      <c r="E78" s="13" t="n">
        <v>195</v>
      </c>
      <c r="F78" s="14" t="n">
        <f aca="false">D78*E78</f>
        <v>195</v>
      </c>
    </row>
    <row r="79" customFormat="false" ht="15" hidden="false" customHeight="true" outlineLevel="0" collapsed="false">
      <c r="A79" s="10" t="s">
        <v>137</v>
      </c>
      <c r="B79" s="11" t="s">
        <v>138</v>
      </c>
      <c r="C79" s="10" t="s">
        <v>39</v>
      </c>
      <c r="D79" s="12" t="n">
        <v>1</v>
      </c>
      <c r="E79" s="13" t="n">
        <v>175</v>
      </c>
      <c r="F79" s="14" t="n">
        <f aca="false">D79*E79</f>
        <v>175</v>
      </c>
    </row>
    <row r="80" customFormat="false" ht="15" hidden="false" customHeight="true" outlineLevel="0" collapsed="false">
      <c r="A80" s="10" t="s">
        <v>139</v>
      </c>
      <c r="B80" s="11" t="s">
        <v>140</v>
      </c>
      <c r="C80" s="10" t="s">
        <v>39</v>
      </c>
      <c r="D80" s="12" t="n">
        <v>1</v>
      </c>
      <c r="E80" s="13" t="n">
        <v>250</v>
      </c>
      <c r="F80" s="14" t="n">
        <f aca="false">D80*E80</f>
        <v>250</v>
      </c>
    </row>
    <row r="81" customFormat="false" ht="15" hidden="false" customHeight="true" outlineLevel="0" collapsed="false">
      <c r="A81" s="10" t="s">
        <v>141</v>
      </c>
      <c r="B81" s="11" t="s">
        <v>142</v>
      </c>
      <c r="C81" s="10" t="s">
        <v>39</v>
      </c>
      <c r="D81" s="12" t="n">
        <v>1</v>
      </c>
      <c r="E81" s="13" t="n">
        <v>230</v>
      </c>
      <c r="F81" s="14" t="n">
        <f aca="false">D81*E81</f>
        <v>230</v>
      </c>
    </row>
    <row r="82" customFormat="false" ht="15" hidden="false" customHeight="false" outlineLevel="0" collapsed="false">
      <c r="E82" s="15" t="s">
        <v>143</v>
      </c>
      <c r="F82" s="16" t="n">
        <f aca="false">SUM(F73:F81)</f>
        <v>1900</v>
      </c>
    </row>
    <row r="84" customFormat="false" ht="15" hidden="false" customHeight="false" outlineLevel="0" collapsed="false">
      <c r="A84" s="8" t="s">
        <v>144</v>
      </c>
      <c r="B84" s="9" t="s">
        <v>145</v>
      </c>
      <c r="C84" s="9"/>
      <c r="D84" s="9"/>
      <c r="E84" s="9"/>
      <c r="F84" s="9"/>
    </row>
    <row r="85" customFormat="false" ht="25.5" hidden="false" customHeight="true" outlineLevel="0" collapsed="false">
      <c r="A85" s="10" t="s">
        <v>146</v>
      </c>
      <c r="B85" s="11" t="s">
        <v>147</v>
      </c>
      <c r="C85" s="10" t="s">
        <v>39</v>
      </c>
      <c r="D85" s="12" t="n">
        <v>3</v>
      </c>
      <c r="E85" s="13" t="n">
        <v>195</v>
      </c>
      <c r="F85" s="14" t="n">
        <f aca="false">D85*E85</f>
        <v>585</v>
      </c>
    </row>
    <row r="86" customFormat="false" ht="15" hidden="false" customHeight="true" outlineLevel="0" collapsed="false">
      <c r="A86" s="10" t="s">
        <v>148</v>
      </c>
      <c r="B86" s="11" t="s">
        <v>149</v>
      </c>
      <c r="C86" s="10" t="s">
        <v>39</v>
      </c>
      <c r="D86" s="12" t="n">
        <v>2</v>
      </c>
      <c r="E86" s="13" t="n">
        <v>175</v>
      </c>
      <c r="F86" s="14" t="n">
        <f aca="false">D86*E86</f>
        <v>350</v>
      </c>
    </row>
    <row r="87" customFormat="false" ht="15" hidden="false" customHeight="true" outlineLevel="0" collapsed="false">
      <c r="A87" s="10" t="s">
        <v>150</v>
      </c>
      <c r="B87" s="11" t="s">
        <v>151</v>
      </c>
      <c r="C87" s="10" t="s">
        <v>39</v>
      </c>
      <c r="D87" s="12" t="n">
        <v>2</v>
      </c>
      <c r="E87" s="13" t="n">
        <v>240</v>
      </c>
      <c r="F87" s="14" t="n">
        <f aca="false">D87*E87</f>
        <v>480</v>
      </c>
    </row>
    <row r="88" customFormat="false" ht="15" hidden="false" customHeight="true" outlineLevel="0" collapsed="false">
      <c r="A88" s="10" t="s">
        <v>152</v>
      </c>
      <c r="B88" s="11" t="s">
        <v>153</v>
      </c>
      <c r="C88" s="10" t="s">
        <v>39</v>
      </c>
      <c r="D88" s="12" t="n">
        <v>2</v>
      </c>
      <c r="E88" s="13" t="n">
        <v>240</v>
      </c>
      <c r="F88" s="14" t="n">
        <f aca="false">D88*E88</f>
        <v>480</v>
      </c>
    </row>
    <row r="89" customFormat="false" ht="15" hidden="false" customHeight="true" outlineLevel="0" collapsed="false">
      <c r="A89" s="10" t="s">
        <v>154</v>
      </c>
      <c r="B89" s="11" t="s">
        <v>155</v>
      </c>
      <c r="C89" s="10" t="s">
        <v>39</v>
      </c>
      <c r="D89" s="12" t="n">
        <v>2</v>
      </c>
      <c r="E89" s="13" t="n">
        <v>125</v>
      </c>
      <c r="F89" s="14" t="n">
        <f aca="false">D89*E89</f>
        <v>250</v>
      </c>
    </row>
    <row r="90" customFormat="false" ht="15" hidden="false" customHeight="false" outlineLevel="0" collapsed="false">
      <c r="E90" s="15" t="s">
        <v>156</v>
      </c>
      <c r="F90" s="16" t="n">
        <f aca="false">SUM(F85:F89)</f>
        <v>2145</v>
      </c>
    </row>
    <row r="92" customFormat="false" ht="15" hidden="false" customHeight="false" outlineLevel="0" collapsed="false">
      <c r="A92" s="8" t="s">
        <v>157</v>
      </c>
      <c r="B92" s="9" t="s">
        <v>158</v>
      </c>
      <c r="C92" s="9"/>
      <c r="D92" s="9"/>
      <c r="E92" s="9"/>
      <c r="F92" s="9"/>
    </row>
    <row r="93" customFormat="false" ht="25.5" hidden="false" customHeight="true" outlineLevel="0" collapsed="false">
      <c r="A93" s="10" t="s">
        <v>159</v>
      </c>
      <c r="B93" s="11" t="s">
        <v>160</v>
      </c>
      <c r="C93" s="10" t="s">
        <v>39</v>
      </c>
      <c r="D93" s="12" t="n">
        <v>3</v>
      </c>
      <c r="E93" s="13" t="n">
        <v>125</v>
      </c>
      <c r="F93" s="14" t="n">
        <f aca="false">D93*E93</f>
        <v>375</v>
      </c>
    </row>
    <row r="94" customFormat="false" ht="15" hidden="false" customHeight="true" outlineLevel="0" collapsed="false">
      <c r="A94" s="10" t="s">
        <v>161</v>
      </c>
      <c r="B94" s="11" t="s">
        <v>162</v>
      </c>
      <c r="C94" s="10" t="s">
        <v>39</v>
      </c>
      <c r="D94" s="12" t="n">
        <v>1</v>
      </c>
      <c r="E94" s="13" t="n">
        <v>270</v>
      </c>
      <c r="F94" s="14" t="n">
        <f aca="false">D94*E94</f>
        <v>270</v>
      </c>
    </row>
    <row r="95" customFormat="false" ht="15" hidden="false" customHeight="true" outlineLevel="0" collapsed="false">
      <c r="A95" s="10" t="s">
        <v>163</v>
      </c>
      <c r="B95" s="11" t="s">
        <v>164</v>
      </c>
      <c r="C95" s="10" t="s">
        <v>39</v>
      </c>
      <c r="D95" s="12" t="n">
        <v>1</v>
      </c>
      <c r="E95" s="13" t="n">
        <v>150</v>
      </c>
      <c r="F95" s="14" t="n">
        <f aca="false">D95*E95</f>
        <v>150</v>
      </c>
    </row>
    <row r="96" customFormat="false" ht="15" hidden="false" customHeight="true" outlineLevel="0" collapsed="false">
      <c r="A96" s="10" t="s">
        <v>165</v>
      </c>
      <c r="B96" s="11" t="s">
        <v>166</v>
      </c>
      <c r="C96" s="10" t="s">
        <v>39</v>
      </c>
      <c r="D96" s="12" t="n">
        <v>7</v>
      </c>
      <c r="E96" s="13" t="n">
        <v>58</v>
      </c>
      <c r="F96" s="14" t="n">
        <f aca="false">D96*E96</f>
        <v>406</v>
      </c>
    </row>
    <row r="97" customFormat="false" ht="15" hidden="false" customHeight="true" outlineLevel="0" collapsed="false">
      <c r="A97" s="10" t="s">
        <v>167</v>
      </c>
      <c r="B97" s="11" t="s">
        <v>168</v>
      </c>
      <c r="C97" s="10" t="s">
        <v>39</v>
      </c>
      <c r="D97" s="12" t="n">
        <v>3</v>
      </c>
      <c r="E97" s="13" t="n">
        <v>145</v>
      </c>
      <c r="F97" s="14" t="n">
        <f aca="false">D97*E97</f>
        <v>435</v>
      </c>
    </row>
    <row r="98" customFormat="false" ht="15" hidden="false" customHeight="true" outlineLevel="0" collapsed="false">
      <c r="A98" s="10" t="s">
        <v>169</v>
      </c>
      <c r="B98" s="11" t="s">
        <v>170</v>
      </c>
      <c r="C98" s="10" t="s">
        <v>39</v>
      </c>
      <c r="D98" s="12" t="n">
        <v>2</v>
      </c>
      <c r="E98" s="13" t="n">
        <v>350</v>
      </c>
      <c r="F98" s="14" t="n">
        <f aca="false">D98*E98</f>
        <v>700</v>
      </c>
    </row>
    <row r="99" customFormat="false" ht="15" hidden="false" customHeight="false" outlineLevel="0" collapsed="false">
      <c r="E99" s="15" t="s">
        <v>171</v>
      </c>
      <c r="F99" s="16" t="n">
        <f aca="false">SUM(F93:F98)</f>
        <v>2336</v>
      </c>
    </row>
    <row r="101" customFormat="false" ht="15" hidden="false" customHeight="false" outlineLevel="0" collapsed="false">
      <c r="A101" s="8" t="s">
        <v>172</v>
      </c>
      <c r="B101" s="9" t="s">
        <v>173</v>
      </c>
      <c r="C101" s="9"/>
      <c r="D101" s="9"/>
      <c r="E101" s="9"/>
      <c r="F101" s="9"/>
    </row>
    <row r="102" customFormat="false" ht="25.5" hidden="false" customHeight="true" outlineLevel="0" collapsed="false">
      <c r="A102" s="10" t="s">
        <v>174</v>
      </c>
      <c r="B102" s="11" t="s">
        <v>175</v>
      </c>
      <c r="C102" s="10" t="s">
        <v>24</v>
      </c>
      <c r="D102" s="12" t="n">
        <v>1</v>
      </c>
      <c r="E102" s="13" t="n">
        <v>480</v>
      </c>
      <c r="F102" s="14" t="n">
        <f aca="false">D102*E102</f>
        <v>480</v>
      </c>
    </row>
    <row r="103" customFormat="false" ht="15" hidden="false" customHeight="true" outlineLevel="0" collapsed="false">
      <c r="A103" s="10" t="s">
        <v>176</v>
      </c>
      <c r="B103" s="11" t="s">
        <v>177</v>
      </c>
      <c r="C103" s="10" t="s">
        <v>24</v>
      </c>
      <c r="D103" s="12" t="n">
        <v>1</v>
      </c>
      <c r="E103" s="13" t="n">
        <v>280</v>
      </c>
      <c r="F103" s="14" t="n">
        <f aca="false">D103*E103</f>
        <v>280</v>
      </c>
    </row>
    <row r="104" customFormat="false" ht="25.5" hidden="false" customHeight="true" outlineLevel="0" collapsed="false">
      <c r="A104" s="10" t="s">
        <v>178</v>
      </c>
      <c r="B104" s="11" t="s">
        <v>179</v>
      </c>
      <c r="C104" s="10" t="s">
        <v>24</v>
      </c>
      <c r="D104" s="12" t="n">
        <v>1</v>
      </c>
      <c r="E104" s="13" t="n">
        <v>360</v>
      </c>
      <c r="F104" s="14" t="n">
        <f aca="false">D104*E104</f>
        <v>360</v>
      </c>
    </row>
    <row r="105" customFormat="false" ht="15" hidden="false" customHeight="false" outlineLevel="0" collapsed="false">
      <c r="E105" s="15" t="s">
        <v>180</v>
      </c>
      <c r="F105" s="16" t="n">
        <f aca="false">SUM(F102:F104)</f>
        <v>1120</v>
      </c>
    </row>
    <row r="107" customFormat="false" ht="15" hidden="false" customHeight="false" outlineLevel="0" collapsed="false">
      <c r="E107" s="17" t="s">
        <v>181</v>
      </c>
      <c r="F107" s="18" t="n">
        <f aca="false">F14+F22+F41+F49+F55+F61+F66+F70+F82+F90+F99+F105</f>
        <v>49746</v>
      </c>
    </row>
    <row r="108" customFormat="false" ht="15" hidden="false" customHeight="false" outlineLevel="0" collapsed="false">
      <c r="D108" s="19" t="n">
        <v>0.1</v>
      </c>
      <c r="E108" s="17" t="s">
        <v>182</v>
      </c>
      <c r="F108" s="18" t="n">
        <f aca="false">F107*D108</f>
        <v>4974.6</v>
      </c>
    </row>
    <row r="109" customFormat="false" ht="15" hidden="false" customHeight="false" outlineLevel="0" collapsed="false">
      <c r="E109" s="20" t="s">
        <v>183</v>
      </c>
      <c r="F109" s="21" t="n">
        <f aca="false">F107+F108</f>
        <v>54720.6</v>
      </c>
    </row>
    <row r="110" customFormat="false" ht="15" hidden="false" customHeight="false" outlineLevel="0" collapsed="false">
      <c r="E110" s="22" t="s">
        <v>184</v>
      </c>
      <c r="F110" s="23" t="n">
        <f aca="false">F109*0.3</f>
        <v>16416.18</v>
      </c>
    </row>
    <row r="113" customFormat="false" ht="15" hidden="false" customHeight="false" outlineLevel="0" collapsed="false">
      <c r="A113" s="24" t="s">
        <v>185</v>
      </c>
    </row>
    <row r="114" customFormat="false" ht="25.5" hidden="false" customHeight="true" outlineLevel="0" collapsed="false">
      <c r="A114" s="10" t="s">
        <v>186</v>
      </c>
      <c r="B114" s="11" t="s">
        <v>187</v>
      </c>
      <c r="C114" s="10" t="s">
        <v>188</v>
      </c>
      <c r="D114" s="12" t="n">
        <v>85</v>
      </c>
      <c r="E114" s="13" t="n">
        <v>78</v>
      </c>
      <c r="F114" s="14" t="n">
        <f aca="false">D114*E114</f>
        <v>6630</v>
      </c>
    </row>
    <row r="115" customFormat="false" ht="15" hidden="false" customHeight="true" outlineLevel="0" collapsed="false">
      <c r="A115" s="10" t="s">
        <v>189</v>
      </c>
      <c r="B115" s="11" t="s">
        <v>190</v>
      </c>
      <c r="C115" s="10" t="s">
        <v>39</v>
      </c>
      <c r="D115" s="12" t="n">
        <v>12</v>
      </c>
      <c r="E115" s="13" t="n">
        <v>65</v>
      </c>
      <c r="F115" s="14" t="n">
        <f aca="false">D115*E115</f>
        <v>780</v>
      </c>
    </row>
    <row r="116" customFormat="false" ht="15" hidden="false" customHeight="true" outlineLevel="0" collapsed="false">
      <c r="A116" s="10" t="s">
        <v>191</v>
      </c>
      <c r="B116" s="11" t="s">
        <v>192</v>
      </c>
      <c r="C116" s="10" t="s">
        <v>39</v>
      </c>
      <c r="D116" s="12" t="n">
        <v>1</v>
      </c>
      <c r="E116" s="13" t="n">
        <v>160</v>
      </c>
      <c r="F116" s="14" t="n">
        <f aca="false">D116*E116</f>
        <v>160</v>
      </c>
    </row>
    <row r="117" customFormat="false" ht="15" hidden="false" customHeight="true" outlineLevel="0" collapsed="false">
      <c r="A117" s="10" t="s">
        <v>193</v>
      </c>
      <c r="B117" s="11" t="s">
        <v>194</v>
      </c>
      <c r="C117" s="10" t="s">
        <v>39</v>
      </c>
      <c r="D117" s="12" t="n">
        <v>1</v>
      </c>
      <c r="E117" s="13" t="n">
        <v>420</v>
      </c>
      <c r="F117" s="14" t="n">
        <f aca="false">D117*E117</f>
        <v>420</v>
      </c>
    </row>
    <row r="118" customFormat="false" ht="15" hidden="false" customHeight="false" outlineLevel="0" collapsed="false">
      <c r="E118" s="15" t="s">
        <v>195</v>
      </c>
      <c r="F118" s="16" t="n">
        <f aca="false">SUM(F114:F117)</f>
        <v>7990</v>
      </c>
    </row>
    <row r="121" customFormat="false" ht="15" hidden="false" customHeight="false" outlineLevel="0" collapsed="false">
      <c r="A121" s="2" t="s">
        <v>196</v>
      </c>
    </row>
    <row r="122" customFormat="false" ht="51.75" hidden="false" customHeight="true" outlineLevel="0" collapsed="false">
      <c r="B122" s="25" t="s">
        <v>197</v>
      </c>
    </row>
    <row r="123" customFormat="false" ht="25.5" hidden="false" customHeight="true" outlineLevel="0" collapsed="false">
      <c r="B123" s="25" t="s">
        <v>198</v>
      </c>
    </row>
    <row r="124" customFormat="false" ht="39" hidden="false" customHeight="true" outlineLevel="0" collapsed="false">
      <c r="B124" s="25" t="s">
        <v>199</v>
      </c>
    </row>
    <row r="125" customFormat="false" ht="25.5" hidden="false" customHeight="true" outlineLevel="0" collapsed="false">
      <c r="B125" s="25" t="s">
        <v>200</v>
      </c>
    </row>
    <row r="126" customFormat="false" ht="12.75" hidden="false" customHeight="true" outlineLevel="0" collapsed="false">
      <c r="B126" s="25" t="s">
        <v>201</v>
      </c>
    </row>
    <row r="128" customFormat="false" ht="15" hidden="false" customHeight="false" outlineLevel="0" collapsed="false">
      <c r="B128" s="2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5" min="4" style="0" width="12"/>
  </cols>
  <sheetData>
    <row r="1" customFormat="false" ht="15" hidden="false" customHeight="false" outlineLevel="0" collapsed="false">
      <c r="A1" s="26" t="s">
        <v>203</v>
      </c>
    </row>
    <row r="2" customFormat="false" ht="15" hidden="false" customHeight="false" outlineLevel="0" collapsed="false">
      <c r="A2" s="27" t="s">
        <v>204</v>
      </c>
    </row>
    <row r="4" customFormat="false" ht="15" hidden="false" customHeight="false" outlineLevel="0" collapsed="false">
      <c r="A4" s="28" t="s">
        <v>14</v>
      </c>
      <c r="B4" s="28" t="s">
        <v>205</v>
      </c>
      <c r="C4" s="28" t="s">
        <v>206</v>
      </c>
      <c r="D4" s="28" t="s">
        <v>207</v>
      </c>
      <c r="E4" s="28" t="s">
        <v>208</v>
      </c>
    </row>
    <row r="5" customFormat="false" ht="15" hidden="false" customHeight="false" outlineLevel="0" collapsed="false">
      <c r="A5" s="29" t="n">
        <v>1</v>
      </c>
      <c r="B5" s="29" t="s">
        <v>209</v>
      </c>
      <c r="C5" s="29" t="s">
        <v>210</v>
      </c>
      <c r="D5" s="29" t="s">
        <v>211</v>
      </c>
      <c r="E5" s="29" t="s">
        <v>212</v>
      </c>
    </row>
    <row r="6" customFormat="false" ht="15" hidden="false" customHeight="false" outlineLevel="0" collapsed="false">
      <c r="A6" s="29" t="n">
        <v>2</v>
      </c>
      <c r="B6" s="29" t="s">
        <v>209</v>
      </c>
      <c r="C6" s="29" t="s">
        <v>213</v>
      </c>
      <c r="D6" s="29" t="s">
        <v>211</v>
      </c>
      <c r="E6" s="29" t="s">
        <v>212</v>
      </c>
    </row>
    <row r="7" customFormat="false" ht="15" hidden="false" customHeight="false" outlineLevel="0" collapsed="false">
      <c r="A7" s="29" t="n">
        <v>3</v>
      </c>
      <c r="B7" s="29" t="s">
        <v>209</v>
      </c>
      <c r="C7" s="29" t="s">
        <v>214</v>
      </c>
      <c r="D7" s="29" t="s">
        <v>215</v>
      </c>
      <c r="E7" s="29" t="s">
        <v>216</v>
      </c>
    </row>
    <row r="8" customFormat="false" ht="15" hidden="false" customHeight="false" outlineLevel="0" collapsed="false">
      <c r="A8" s="29" t="n">
        <v>4</v>
      </c>
      <c r="B8" s="29" t="s">
        <v>209</v>
      </c>
      <c r="C8" s="29" t="s">
        <v>217</v>
      </c>
      <c r="D8" s="29" t="s">
        <v>218</v>
      </c>
      <c r="E8" s="29" t="s">
        <v>216</v>
      </c>
    </row>
    <row r="9" customFormat="false" ht="15" hidden="false" customHeight="false" outlineLevel="0" collapsed="false">
      <c r="A9" s="29" t="n">
        <v>5</v>
      </c>
      <c r="B9" s="29" t="s">
        <v>209</v>
      </c>
      <c r="C9" s="29" t="s">
        <v>219</v>
      </c>
      <c r="D9" s="29" t="s">
        <v>218</v>
      </c>
      <c r="E9" s="29" t="s">
        <v>212</v>
      </c>
    </row>
    <row r="10" customFormat="false" ht="15" hidden="false" customHeight="false" outlineLevel="0" collapsed="false">
      <c r="A10" s="29" t="n">
        <v>6</v>
      </c>
      <c r="B10" s="29" t="s">
        <v>209</v>
      </c>
      <c r="C10" s="29" t="s">
        <v>220</v>
      </c>
      <c r="D10" s="29" t="s">
        <v>218</v>
      </c>
      <c r="E10" s="29" t="s">
        <v>212</v>
      </c>
    </row>
    <row r="11" customFormat="false" ht="15" hidden="false" customHeight="false" outlineLevel="0" collapsed="false">
      <c r="A11" s="29" t="n">
        <v>7</v>
      </c>
      <c r="B11" s="29" t="s">
        <v>209</v>
      </c>
      <c r="C11" s="29" t="s">
        <v>221</v>
      </c>
      <c r="D11" s="29" t="s">
        <v>218</v>
      </c>
      <c r="E11" s="29" t="s">
        <v>212</v>
      </c>
    </row>
    <row r="12" customFormat="false" ht="15" hidden="false" customHeight="false" outlineLevel="0" collapsed="false">
      <c r="A12" s="29" t="n">
        <v>8</v>
      </c>
      <c r="B12" s="29" t="s">
        <v>209</v>
      </c>
      <c r="C12" s="29" t="s">
        <v>222</v>
      </c>
      <c r="D12" s="29" t="s">
        <v>223</v>
      </c>
      <c r="E12" s="29" t="s">
        <v>212</v>
      </c>
    </row>
    <row r="13" customFormat="false" ht="15" hidden="false" customHeight="false" outlineLevel="0" collapsed="false">
      <c r="A13" s="29" t="n">
        <v>9</v>
      </c>
      <c r="B13" s="29" t="s">
        <v>224</v>
      </c>
      <c r="C13" s="29" t="s">
        <v>225</v>
      </c>
      <c r="D13" s="29" t="s">
        <v>211</v>
      </c>
      <c r="E13" s="29" t="s">
        <v>212</v>
      </c>
    </row>
    <row r="14" customFormat="false" ht="15" hidden="false" customHeight="false" outlineLevel="0" collapsed="false">
      <c r="A14" s="29" t="n">
        <v>10</v>
      </c>
      <c r="B14" s="29" t="s">
        <v>224</v>
      </c>
      <c r="C14" s="29" t="s">
        <v>226</v>
      </c>
      <c r="D14" s="29" t="s">
        <v>211</v>
      </c>
      <c r="E14" s="29" t="s">
        <v>212</v>
      </c>
    </row>
    <row r="15" customFormat="false" ht="15" hidden="false" customHeight="false" outlineLevel="0" collapsed="false">
      <c r="A15" s="29" t="n">
        <v>11</v>
      </c>
      <c r="B15" s="29" t="s">
        <v>224</v>
      </c>
      <c r="C15" s="29" t="s">
        <v>227</v>
      </c>
      <c r="D15" s="29" t="s">
        <v>218</v>
      </c>
      <c r="E15" s="29" t="s">
        <v>216</v>
      </c>
    </row>
    <row r="16" customFormat="false" ht="15" hidden="false" customHeight="false" outlineLevel="0" collapsed="false">
      <c r="A16" s="29" t="n">
        <v>12</v>
      </c>
      <c r="B16" s="29" t="s">
        <v>224</v>
      </c>
      <c r="C16" s="29" t="s">
        <v>228</v>
      </c>
      <c r="D16" s="29" t="s">
        <v>218</v>
      </c>
      <c r="E16" s="29" t="s">
        <v>216</v>
      </c>
    </row>
    <row r="17" customFormat="false" ht="15" hidden="false" customHeight="false" outlineLevel="0" collapsed="false">
      <c r="A17" s="29" t="n">
        <v>13</v>
      </c>
      <c r="B17" s="29" t="s">
        <v>224</v>
      </c>
      <c r="C17" s="29" t="s">
        <v>229</v>
      </c>
      <c r="D17" s="29" t="s">
        <v>218</v>
      </c>
      <c r="E17" s="29" t="s">
        <v>212</v>
      </c>
    </row>
    <row r="18" customFormat="false" ht="15" hidden="false" customHeight="false" outlineLevel="0" collapsed="false">
      <c r="A18" s="29" t="n">
        <v>14</v>
      </c>
      <c r="B18" s="29" t="s">
        <v>224</v>
      </c>
      <c r="C18" s="29" t="s">
        <v>230</v>
      </c>
      <c r="D18" s="29" t="s">
        <v>218</v>
      </c>
      <c r="E18" s="29" t="s">
        <v>212</v>
      </c>
    </row>
    <row r="19" customFormat="false" ht="15" hidden="false" customHeight="false" outlineLevel="0" collapsed="false">
      <c r="A19" s="29" t="n">
        <v>15</v>
      </c>
      <c r="B19" s="29" t="s">
        <v>224</v>
      </c>
      <c r="C19" s="29" t="s">
        <v>231</v>
      </c>
      <c r="D19" s="29" t="s">
        <v>218</v>
      </c>
      <c r="E19" s="29" t="s">
        <v>216</v>
      </c>
    </row>
    <row r="20" customFormat="false" ht="15" hidden="false" customHeight="false" outlineLevel="0" collapsed="false">
      <c r="A20" s="29" t="n">
        <v>16</v>
      </c>
      <c r="B20" s="29" t="s">
        <v>232</v>
      </c>
      <c r="C20" s="29" t="s">
        <v>233</v>
      </c>
      <c r="D20" s="29" t="s">
        <v>215</v>
      </c>
      <c r="E20" s="29" t="s">
        <v>216</v>
      </c>
    </row>
    <row r="21" customFormat="false" ht="15" hidden="false" customHeight="false" outlineLevel="0" collapsed="false">
      <c r="A21" s="29" t="n">
        <v>17</v>
      </c>
      <c r="B21" s="29" t="s">
        <v>232</v>
      </c>
      <c r="C21" s="29" t="s">
        <v>234</v>
      </c>
      <c r="D21" s="29" t="s">
        <v>215</v>
      </c>
      <c r="E21" s="29" t="s">
        <v>216</v>
      </c>
    </row>
    <row r="22" customFormat="false" ht="15" hidden="false" customHeight="false" outlineLevel="0" collapsed="false">
      <c r="A22" s="29" t="n">
        <v>18</v>
      </c>
      <c r="B22" s="29" t="s">
        <v>232</v>
      </c>
      <c r="C22" s="29" t="s">
        <v>235</v>
      </c>
      <c r="D22" s="29" t="s">
        <v>215</v>
      </c>
      <c r="E22" s="29" t="s">
        <v>216</v>
      </c>
    </row>
    <row r="23" customFormat="false" ht="15" hidden="false" customHeight="false" outlineLevel="0" collapsed="false">
      <c r="A23" s="29" t="n">
        <v>19</v>
      </c>
      <c r="B23" s="29" t="s">
        <v>232</v>
      </c>
      <c r="C23" s="29" t="s">
        <v>236</v>
      </c>
      <c r="D23" s="29" t="s">
        <v>215</v>
      </c>
      <c r="E23" s="29" t="s">
        <v>216</v>
      </c>
    </row>
    <row r="24" customFormat="false" ht="15" hidden="false" customHeight="false" outlineLevel="0" collapsed="false">
      <c r="A24" s="29" t="n">
        <v>20</v>
      </c>
      <c r="B24" s="29" t="s">
        <v>232</v>
      </c>
      <c r="C24" s="29" t="s">
        <v>237</v>
      </c>
      <c r="D24" s="29" t="s">
        <v>215</v>
      </c>
      <c r="E24" s="29" t="s">
        <v>216</v>
      </c>
    </row>
    <row r="25" customFormat="false" ht="15" hidden="false" customHeight="false" outlineLevel="0" collapsed="false">
      <c r="A25" s="29" t="n">
        <v>21</v>
      </c>
      <c r="B25" s="29" t="s">
        <v>238</v>
      </c>
      <c r="C25" s="29" t="s">
        <v>239</v>
      </c>
      <c r="D25" s="29" t="s">
        <v>240</v>
      </c>
      <c r="E25" s="29" t="s">
        <v>241</v>
      </c>
    </row>
    <row r="26" customFormat="false" ht="15" hidden="false" customHeight="false" outlineLevel="0" collapsed="false">
      <c r="A26" s="29" t="n">
        <v>22</v>
      </c>
      <c r="B26" s="29" t="s">
        <v>238</v>
      </c>
      <c r="C26" s="29" t="s">
        <v>242</v>
      </c>
      <c r="D26" s="29" t="s">
        <v>215</v>
      </c>
      <c r="E26" s="29" t="s">
        <v>216</v>
      </c>
    </row>
    <row r="27" customFormat="false" ht="15" hidden="false" customHeight="false" outlineLevel="0" collapsed="false">
      <c r="A27" s="29" t="n">
        <v>23</v>
      </c>
      <c r="B27" s="29" t="s">
        <v>238</v>
      </c>
      <c r="C27" s="29" t="s">
        <v>243</v>
      </c>
      <c r="D27" s="29" t="s">
        <v>215</v>
      </c>
      <c r="E27" s="29" t="s">
        <v>216</v>
      </c>
    </row>
    <row r="28" customFormat="false" ht="15" hidden="false" customHeight="false" outlineLevel="0" collapsed="false">
      <c r="A28" s="29" t="n">
        <v>24</v>
      </c>
      <c r="B28" s="29" t="s">
        <v>238</v>
      </c>
      <c r="C28" s="29" t="s">
        <v>244</v>
      </c>
      <c r="D28" s="29" t="s">
        <v>215</v>
      </c>
      <c r="E28" s="29" t="s">
        <v>216</v>
      </c>
    </row>
    <row r="29" customFormat="false" ht="15" hidden="false" customHeight="false" outlineLevel="0" collapsed="false">
      <c r="A29" s="29" t="n">
        <v>25</v>
      </c>
      <c r="B29" s="29" t="s">
        <v>238</v>
      </c>
      <c r="C29" s="29" t="s">
        <v>245</v>
      </c>
      <c r="D29" s="29" t="s">
        <v>215</v>
      </c>
      <c r="E29" s="29" t="s">
        <v>216</v>
      </c>
    </row>
    <row r="30" customFormat="false" ht="15" hidden="false" customHeight="false" outlineLevel="0" collapsed="false">
      <c r="A30" s="29" t="n">
        <v>26</v>
      </c>
      <c r="B30" s="29" t="s">
        <v>238</v>
      </c>
      <c r="C30" s="29" t="s">
        <v>246</v>
      </c>
      <c r="D30" s="29" t="s">
        <v>215</v>
      </c>
      <c r="E30" s="29" t="s">
        <v>216</v>
      </c>
    </row>
    <row r="31" customFormat="false" ht="15" hidden="false" customHeight="false" outlineLevel="0" collapsed="false">
      <c r="A31" s="29" t="n">
        <v>27</v>
      </c>
      <c r="B31" s="29" t="s">
        <v>247</v>
      </c>
      <c r="C31" s="29" t="s">
        <v>248</v>
      </c>
      <c r="D31" s="29" t="s">
        <v>218</v>
      </c>
      <c r="E31" s="29" t="s">
        <v>216</v>
      </c>
    </row>
    <row r="32" customFormat="false" ht="15" hidden="false" customHeight="false" outlineLevel="0" collapsed="false">
      <c r="A32" s="29" t="n">
        <v>28</v>
      </c>
      <c r="B32" s="29" t="s">
        <v>247</v>
      </c>
      <c r="C32" s="29" t="s">
        <v>249</v>
      </c>
      <c r="D32" s="29" t="s">
        <v>218</v>
      </c>
      <c r="E32" s="29" t="s">
        <v>216</v>
      </c>
    </row>
    <row r="33" customFormat="false" ht="15" hidden="false" customHeight="false" outlineLevel="0" collapsed="false">
      <c r="A33" s="29" t="n">
        <v>29</v>
      </c>
      <c r="B33" s="29" t="s">
        <v>247</v>
      </c>
      <c r="C33" s="29" t="s">
        <v>250</v>
      </c>
      <c r="D33" s="29" t="s">
        <v>218</v>
      </c>
      <c r="E33" s="29" t="s">
        <v>216</v>
      </c>
    </row>
    <row r="34" customFormat="false" ht="15" hidden="false" customHeight="false" outlineLevel="0" collapsed="false">
      <c r="A34" s="29" t="n">
        <v>30</v>
      </c>
      <c r="B34" s="29" t="s">
        <v>247</v>
      </c>
      <c r="C34" s="29" t="s">
        <v>251</v>
      </c>
      <c r="D34" s="29" t="s">
        <v>218</v>
      </c>
      <c r="E34" s="29" t="s">
        <v>216</v>
      </c>
    </row>
    <row r="35" customFormat="false" ht="15" hidden="false" customHeight="false" outlineLevel="0" collapsed="false">
      <c r="A35" s="29" t="n">
        <v>31</v>
      </c>
      <c r="B35" s="29" t="s">
        <v>252</v>
      </c>
      <c r="C35" s="29" t="s">
        <v>253</v>
      </c>
      <c r="D35" s="29" t="s">
        <v>218</v>
      </c>
      <c r="E35" s="29" t="s">
        <v>216</v>
      </c>
    </row>
    <row r="36" customFormat="false" ht="15" hidden="false" customHeight="false" outlineLevel="0" collapsed="false">
      <c r="A36" s="29" t="n">
        <v>32</v>
      </c>
      <c r="B36" s="29" t="s">
        <v>252</v>
      </c>
      <c r="C36" s="29" t="s">
        <v>254</v>
      </c>
      <c r="D36" s="29" t="s">
        <v>218</v>
      </c>
      <c r="E36" s="29" t="s">
        <v>216</v>
      </c>
    </row>
    <row r="37" customFormat="false" ht="15" hidden="false" customHeight="false" outlineLevel="0" collapsed="false">
      <c r="A37" s="29" t="n">
        <v>33</v>
      </c>
      <c r="B37" s="29" t="s">
        <v>252</v>
      </c>
      <c r="C37" s="29" t="s">
        <v>255</v>
      </c>
      <c r="D37" s="29" t="s">
        <v>218</v>
      </c>
      <c r="E37" s="29" t="s">
        <v>216</v>
      </c>
    </row>
    <row r="38" customFormat="false" ht="15" hidden="false" customHeight="false" outlineLevel="0" collapsed="false">
      <c r="A38" s="29" t="n">
        <v>34</v>
      </c>
      <c r="B38" s="29" t="s">
        <v>252</v>
      </c>
      <c r="C38" s="29" t="s">
        <v>256</v>
      </c>
      <c r="D38" s="29" t="s">
        <v>218</v>
      </c>
      <c r="E38" s="29" t="s">
        <v>216</v>
      </c>
    </row>
    <row r="39" customFormat="false" ht="15" hidden="false" customHeight="false" outlineLevel="0" collapsed="false">
      <c r="A39" s="29" t="n">
        <v>35</v>
      </c>
      <c r="B39" s="29" t="s">
        <v>252</v>
      </c>
      <c r="C39" s="29" t="s">
        <v>257</v>
      </c>
      <c r="D39" s="29" t="s">
        <v>218</v>
      </c>
      <c r="E39" s="29" t="s">
        <v>216</v>
      </c>
    </row>
    <row r="41" customFormat="false" ht="15" hidden="false" customHeight="false" outlineLevel="0" collapsed="false">
      <c r="C41" s="2" t="s">
        <v>258</v>
      </c>
      <c r="D41" s="2" t="n">
        <f aca="false">COUNTA(C5:C39)</f>
        <v>35</v>
      </c>
    </row>
    <row r="42" customFormat="false" ht="15" hidden="false" customHeight="false" outlineLevel="0" collapsed="false">
      <c r="C42" s="5" t="s">
        <v>259</v>
      </c>
      <c r="D42" s="30" t="n">
        <f aca="false">MAX(COUNTIF(B5:B39,"ID1*"),COUNTIF(B5:B39,"ID2*"),COUNTIF(B5:B39,"ID3*"),COUNTIF(B5:B39,"ID4*"),COUNTIF(B5:B39,"ID5*"),COUNTIF(B5:B39,"ID6*"))</f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26" t="s">
        <v>260</v>
      </c>
    </row>
    <row r="3" customFormat="false" ht="42" hidden="false" customHeight="true" outlineLevel="0" collapsed="false">
      <c r="A3" s="0" t="s">
        <v>261</v>
      </c>
      <c r="B3" s="6" t="s">
        <v>262</v>
      </c>
    </row>
    <row r="4" customFormat="false" ht="27.75" hidden="false" customHeight="true" outlineLevel="0" collapsed="false">
      <c r="A4" s="0" t="s">
        <v>261</v>
      </c>
      <c r="B4" s="6" t="s">
        <v>263</v>
      </c>
    </row>
    <row r="5" customFormat="false" ht="27.75" hidden="false" customHeight="true" outlineLevel="0" collapsed="false">
      <c r="A5" s="0" t="s">
        <v>261</v>
      </c>
      <c r="B5" s="6" t="s">
        <v>264</v>
      </c>
    </row>
    <row r="6" customFormat="false" ht="27.75" hidden="false" customHeight="true" outlineLevel="0" collapsed="false">
      <c r="A6" s="0" t="s">
        <v>261</v>
      </c>
      <c r="B6" s="6" t="s">
        <v>265</v>
      </c>
    </row>
    <row r="7" customFormat="false" ht="13.5" hidden="false" customHeight="true" outlineLevel="0" collapsed="false">
      <c r="A7" s="0" t="s">
        <v>261</v>
      </c>
      <c r="B7" s="6" t="s">
        <v>266</v>
      </c>
    </row>
    <row r="8" customFormat="false" ht="27.75" hidden="false" customHeight="true" outlineLevel="0" collapsed="false">
      <c r="A8" s="0" t="s">
        <v>261</v>
      </c>
      <c r="B8" s="6" t="s">
        <v>267</v>
      </c>
    </row>
    <row r="9" customFormat="false" ht="27.75" hidden="false" customHeight="true" outlineLevel="0" collapsed="false">
      <c r="A9" s="0" t="s">
        <v>261</v>
      </c>
      <c r="B9" s="6" t="s">
        <v>268</v>
      </c>
    </row>
    <row r="10" customFormat="false" ht="27.75" hidden="false" customHeight="true" outlineLevel="0" collapsed="false">
      <c r="A10" s="0" t="s">
        <v>261</v>
      </c>
      <c r="B10" s="6" t="s">
        <v>269</v>
      </c>
    </row>
    <row r="11" customFormat="false" ht="27.75" hidden="false" customHeight="true" outlineLevel="0" collapsed="false">
      <c r="A11" s="0" t="s">
        <v>261</v>
      </c>
      <c r="B11" s="6" t="s">
        <v>270</v>
      </c>
    </row>
    <row r="12" customFormat="false" ht="27.75" hidden="false" customHeight="true" outlineLevel="0" collapsed="false">
      <c r="A12" s="0" t="s">
        <v>261</v>
      </c>
      <c r="B12" s="6" t="s">
        <v>271</v>
      </c>
    </row>
    <row r="15" customFormat="false" ht="15" hidden="false" customHeight="false" outlineLevel="0" collapsed="false">
      <c r="B15" s="31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2026-10-15T16:17:41Z</dcterms:created>
  <dc:creator>openpyxl</dc:creator>
  <dc:description/>
  <dc:language>en-US</dc:language>
  <cp:lastModifiedBy/>
  <dcterms:modified xsi:type="dcterms:W3CDTF">2026-10-15T16:17:41Z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