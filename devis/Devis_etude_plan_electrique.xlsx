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s étud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<sst xmlns="http://schemas.openxmlformats.org/spreadsheetml/2006/main" count="44" uniqueCount="41">
  <si>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MAUREL'EC</t>
  </si>
  <si>
    <t xml:space="preserve">DEVIS N°</t>
  </si>
  <si>
    <t xml:space="preserve">[à compléter]</t>
  </si>
  <si>
    <t xml:space="preserve">Électricité générale – Domotique</t>
  </si>
  <si>
    <t xml:space="preserve">Date</t>
  </si>
  <si>
    <t xml:space="preserve">16/10/2026</t>
  </si>
  <si>
    <t xml:space="preserve">[Adresse] – [Téléphone] – maurelec.btp@gmail.com</t>
  </si>
  <si>
    <t xml:space="preserve">Validité</t>
  </si>
  <si>
    <t xml:space="preserve">1 mois</t>
  </si>
  <si>
    <t xml:space="preserve">Entrepreneur individuel (micro-entreprise) – SIRET : [à compléter] – Assurance décennale : [à compléter]</t>
  </si>
  <si>
    <t xml:space="preserve">CLIENTE :</t>
  </si>
  <si>
    <t xml:space="preserve">Mme [Nom] – [Adresse du chantier]</t>
  </si>
  <si>
    <t xml:space="preserve">OBJET :</t>
  </si>
  <si>
    <t xml:space="preserve">Étude et plan d'exécution électrique – appartement T4 (97,57 m² + 2 balcons), installation connectée Legrand Céliane with Netatmo</t>
  </si>
  <si>
    <t xml:space="preserve">N°</t>
  </si>
  <si>
    <t xml:space="preserve">Désignation</t>
  </si>
  <si>
    <t xml:space="preserve">Unité</t>
  </si>
  <si>
    <t xml:space="preserve">Qté</t>
  </si>
  <si>
    <t xml:space="preserve">PU</t>
  </si>
  <si>
    <t xml:space="preserve">Total</t>
  </si>
  <si>
    <t xml:space="preserve">1</t>
  </si>
  <si>
    <t xml:space="preserve">Visite technique sur place : relevé des cotes, murs porteurs et cloisons, passages de câbles possibles (murs, sols, plafonds), emplacement du tableau, de la GTL et de l'arrivée Enedis, état de l'existant</t>
  </si>
  <si>
    <t xml:space="preserve">Forfait</t>
  </si>
  <si>
    <t xml:space="preserve">2</t>
  </si>
  <si>
    <t xml:space="preserve">Plan d'implantation électrique à l'échelle, pièce par pièce : prises, points lumineux, commandes connectées, volets et stores, alimentations en attente (climatisations, plancher chauffant, électroménager, balcons), sécurité</t>
  </si>
  <si>
    <t xml:space="preserve">3</t>
  </si>
  <si>
    <t xml:space="preserve">Schéma du tableau électrique et liste des circuits : protections, différentiels, sections de câbles, conformité NF C 15-100</t>
  </si>
  <si>
    <t xml:space="preserve">4</t>
  </si>
  <si>
    <t xml:space="preserve">Réunion de présentation avec la cliente et le conducteur de travaux + une série de modifications</t>
  </si>
  <si>
    <t xml:space="preserve">TOTAL NET À PAYER</t>
  </si>
  <si>
    <t xml:space="preserve">TVA non applicable, article 293 B du CGI</t>
  </si>
  <si>
    <t xml:space="preserve">DOCUMENTS REMIS</t>
  </si>
  <si>
    <t xml:space="preserve">• Plan d'implantation électrique à l'échelle (PDF)</t>
  </si>
  <si>
    <t xml:space="preserve">• Schéma du tableau électrique et liste des circuits</t>
  </si>
  <si>
    <t xml:space="preserve">• Nomenclature du matériel avec quantités exactes</t>
  </si>
  <si>
    <t xml:space="preserve">CONDITIONS</t>
  </si>
  <si>
    <t xml:space="preserve">• Le montant de l'étude est intégralement déduit du devis des travaux électriques si ceux-ci sont confiés à MAUREL'EC.</t>
  </si>
  <si>
    <t xml:space="preserve">• Une série de modifications comprise ; modifications supplémentaires sur devis.</t>
  </si>
  <si>
    <t xml:space="preserve">• Paiement à la remise des plans. Les plans et documents restent la propriété de MAUREL'EC jusqu'au paiement complet.</t>
  </si>
  <si>
    <t xml:space="preserve">• Délai de remise des plans : [X] jours ouvrés après la visite sur place.</t>
  </si>
  <si>
    <t xml:space="preserve">Bon pour accord – Date et signature de la cliente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</si>
</sst>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\-#,##0.00&quot; €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4444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22222"/>
        <bgColor rgb="FF00330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</cols>
  <sheetData>
    <row r="1" customFormat="false" ht="24.45" hidden="false" customHeight="false" outlineLevel="0" collapsed="false">
      <c r="A1" s="1" t="s">
        <v>0</v>
      </c>
      <c r="E1" s="2" t="s">
        <v>1</v>
      </c>
      <c r="F1" s="3" t="s">
        <v>2</v>
      </c>
    </row>
    <row r="2" customFormat="false" ht="15" hidden="false" customHeight="false" outlineLevel="0" collapsed="false">
      <c r="A2" s="4" t="s">
        <v>3</v>
      </c>
      <c r="E2" s="2" t="s">
        <v>4</v>
      </c>
      <c r="F2" s="3" t="s">
        <v>5</v>
      </c>
    </row>
    <row r="3" customFormat="false" ht="15" hidden="false" customHeight="false" outlineLevel="0" collapsed="false">
      <c r="A3" s="5" t="s">
        <v>6</v>
      </c>
      <c r="E3" s="2" t="s">
        <v>7</v>
      </c>
      <c r="F3" s="3" t="s">
        <v>8</v>
      </c>
    </row>
    <row r="4" customFormat="false" ht="15" hidden="false" customHeight="false" outlineLevel="0" collapsed="false">
      <c r="A4" s="5" t="s">
        <v>9</v>
      </c>
    </row>
    <row r="6" customFormat="false" ht="15" hidden="false" customHeight="false" outlineLevel="0" collapsed="false">
      <c r="A6" s="2" t="s">
        <v>10</v>
      </c>
      <c r="B6" s="3" t="s">
        <v>11</v>
      </c>
    </row>
    <row r="7" customFormat="false" ht="27.75" hidden="false" customHeight="true" outlineLevel="0" collapsed="false">
      <c r="A7" s="2" t="s">
        <v>12</v>
      </c>
      <c r="B7" s="6" t="s">
        <v>13</v>
      </c>
    </row>
    <row r="9" customFormat="false" ht="15" hidden="false" customHeight="false" outlineLevel="0" collapsed="false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  <c r="F9" s="7" t="s">
        <v>19</v>
      </c>
    </row>
    <row r="10" customFormat="false" ht="42.75" hidden="false" customHeight="true" outlineLevel="0" collapsed="false">
      <c r="A10" s="8" t="s">
        <v>20</v>
      </c>
      <c r="B10" s="9" t="s">
        <v>21</v>
      </c>
      <c r="C10" s="8" t="s">
        <v>22</v>
      </c>
      <c r="D10" s="10" t="n">
        <v>1</v>
      </c>
      <c r="E10" s="11" t="n">
        <v>200</v>
      </c>
      <c r="F10" s="12" t="n">
        <f aca="false">D10*E10</f>
        <v>200</v>
      </c>
    </row>
    <row r="11" customFormat="false" ht="42.75" hidden="false" customHeight="true" outlineLevel="0" collapsed="false">
      <c r="A11" s="8" t="s">
        <v>23</v>
      </c>
      <c r="B11" s="9" t="s">
        <v>24</v>
      </c>
      <c r="C11" s="8" t="s">
        <v>22</v>
      </c>
      <c r="D11" s="10" t="n">
        <v>1</v>
      </c>
      <c r="E11" s="11" t="n">
        <v>300</v>
      </c>
      <c r="F11" s="12" t="n">
        <f aca="false">D11*E11</f>
        <v>300</v>
      </c>
    </row>
    <row r="12" customFormat="false" ht="30" hidden="false" customHeight="true" outlineLevel="0" collapsed="false">
      <c r="A12" s="8" t="s">
        <v>25</v>
      </c>
      <c r="B12" s="9" t="s">
        <v>26</v>
      </c>
      <c r="C12" s="8" t="s">
        <v>22</v>
      </c>
      <c r="D12" s="10" t="n">
        <v>1</v>
      </c>
      <c r="E12" s="11" t="n">
        <v>150</v>
      </c>
      <c r="F12" s="12" t="n">
        <f aca="false">D12*E12</f>
        <v>150</v>
      </c>
    </row>
    <row r="13" customFormat="false" ht="30" hidden="false" customHeight="true" outlineLevel="0" collapsed="false">
      <c r="A13" s="8" t="s">
        <v>27</v>
      </c>
      <c r="B13" s="9" t="s">
        <v>28</v>
      </c>
      <c r="C13" s="8" t="s">
        <v>22</v>
      </c>
      <c r="D13" s="10" t="n">
        <v>1</v>
      </c>
      <c r="E13" s="11" t="n">
        <v>100</v>
      </c>
      <c r="F13" s="12" t="n">
        <f aca="false">D13*E13</f>
        <v>100</v>
      </c>
    </row>
    <row r="15" customFormat="false" ht="15" hidden="false" customHeight="false" outlineLevel="0" collapsed="false">
      <c r="E15" s="13" t="s">
        <v>29</v>
      </c>
      <c r="F15" s="14" t="n">
        <f aca="false">SUM(F10:F13)</f>
        <v>750</v>
      </c>
    </row>
    <row r="16" customFormat="false" ht="15" hidden="false" customHeight="false" outlineLevel="0" collapsed="false">
      <c r="E16" s="15" t="s">
        <v>30</v>
      </c>
    </row>
    <row r="19" customFormat="false" ht="15" hidden="false" customHeight="false" outlineLevel="0" collapsed="false">
      <c r="A19" s="2" t="s">
        <v>31</v>
      </c>
    </row>
    <row r="20" customFormat="false" ht="15" hidden="false" customHeight="false" outlineLevel="0" collapsed="false">
      <c r="B20" s="5" t="s">
        <v>32</v>
      </c>
    </row>
    <row r="21" customFormat="false" ht="15" hidden="false" customHeight="false" outlineLevel="0" collapsed="false">
      <c r="B21" s="5" t="s">
        <v>33</v>
      </c>
    </row>
    <row r="22" customFormat="false" ht="15" hidden="false" customHeight="false" outlineLevel="0" collapsed="false">
      <c r="B22" s="5" t="s">
        <v>34</v>
      </c>
    </row>
    <row r="24" customFormat="false" ht="15" hidden="false" customHeight="false" outlineLevel="0" collapsed="false">
      <c r="A24" s="2" t="s">
        <v>35</v>
      </c>
    </row>
    <row r="25" customFormat="false" ht="25.5" hidden="false" customHeight="true" outlineLevel="0" collapsed="false">
      <c r="B25" s="16" t="s">
        <v>36</v>
      </c>
    </row>
    <row r="26" customFormat="false" ht="12.75" hidden="false" customHeight="true" outlineLevel="0" collapsed="false">
      <c r="B26" s="16" t="s">
        <v>37</v>
      </c>
    </row>
    <row r="27" customFormat="false" ht="25.5" hidden="false" customHeight="true" outlineLevel="0" collapsed="false">
      <c r="B27" s="16" t="s">
        <v>38</v>
      </c>
    </row>
    <row r="28" customFormat="false" ht="12.75" hidden="false" customHeight="true" outlineLevel="0" collapsed="false">
      <c r="B28" s="16" t="s">
        <v>39</v>
      </c>
    </row>
    <row r="30" customFormat="false" ht="15" hidden="false" customHeight="false" outlineLevel="0" collapsed="false">
      <c r="B30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2026-10-16T10:31:41Z</dcterms:created>
  <dc:creator>openpyxl</dc:creator>
  <dc:description/>
  <dc:language>en-US</dc:language>
  <cp:lastModifiedBy/>
  <dcterms:modified xsi:type="dcterms:W3CDTF">2026-10-16T10:31:41Z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